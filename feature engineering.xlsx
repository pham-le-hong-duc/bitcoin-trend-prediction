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repository\thesis\bitcoin-trend-prediction\"/>
    </mc:Choice>
  </mc:AlternateContent>
  <xr:revisionPtr revIDLastSave="0" documentId="13_ncr:1_{7406A5F5-183D-4D62-90FF-67B6718070C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raft" sheetId="3" r:id="rId1"/>
    <sheet name="featurestore" sheetId="1" r:id="rId2"/>
    <sheet name="dashboard" sheetId="2" r:id="rId3"/>
    <sheet name="clean tex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</calcChain>
</file>

<file path=xl/sharedStrings.xml><?xml version="1.0" encoding="utf-8"?>
<sst xmlns="http://schemas.openxmlformats.org/spreadsheetml/2006/main" count="441" uniqueCount="253">
  <si>
    <t>price</t>
  </si>
  <si>
    <t>quantity</t>
  </si>
  <si>
    <t>first_trade_id</t>
  </si>
  <si>
    <t>last_trade_id</t>
  </si>
  <si>
    <t>open_time</t>
  </si>
  <si>
    <t>open</t>
  </si>
  <si>
    <t>high</t>
  </si>
  <si>
    <t>low</t>
  </si>
  <si>
    <t>close</t>
  </si>
  <si>
    <t>volume</t>
  </si>
  <si>
    <t>close_time</t>
  </si>
  <si>
    <t>quote_volume</t>
  </si>
  <si>
    <t>count</t>
  </si>
  <si>
    <t>taker_buy_volume</t>
  </si>
  <si>
    <t>taker_buy_quote_volume</t>
  </si>
  <si>
    <t>ignore</t>
  </si>
  <si>
    <t>futures-metrics</t>
  </si>
  <si>
    <t>create_time</t>
  </si>
  <si>
    <t>symbol</t>
  </si>
  <si>
    <t>sum_open_interest</t>
  </si>
  <si>
    <t>sum_open_interest_value</t>
  </si>
  <si>
    <t>count_toptrader_long_short_ratio</t>
  </si>
  <si>
    <t>sum_toptrader_long_short_ratio</t>
  </si>
  <si>
    <t>sum_taker_long_short_vol_ratio</t>
  </si>
  <si>
    <t>count_long_short_ratio</t>
  </si>
  <si>
    <t>first</t>
  </si>
  <si>
    <t>last</t>
  </si>
  <si>
    <t>max</t>
  </si>
  <si>
    <t>min</t>
  </si>
  <si>
    <t>sentiment</t>
  </si>
  <si>
    <t>table</t>
  </si>
  <si>
    <t>features</t>
  </si>
  <si>
    <t>(3) last</t>
  </si>
  <si>
    <t xml:space="preserve">aggregation </t>
  </si>
  <si>
    <t>chart</t>
  </si>
  <si>
    <t>trend</t>
  </si>
  <si>
    <t>predict</t>
  </si>
  <si>
    <t>tab</t>
  </si>
  <si>
    <t>dual axis line (5m, 15m, 1h, 4h, 1d)</t>
  </si>
  <si>
    <t>line (5m, 15m, 1h, 4h, 1d)</t>
  </si>
  <si>
    <t xml:space="preserve">score = (positive − negative) / total </t>
  </si>
  <si>
    <t xml:space="preserve">confidence = (positive + negative) / total </t>
  </si>
  <si>
    <t>3 tables</t>
  </si>
  <si>
    <t>1 consumer</t>
  </si>
  <si>
    <t>number (1h, 4h, 1d)</t>
  </si>
  <si>
    <t>gauge (1h, 4h, 1d)</t>
  </si>
  <si>
    <t>kline (1m, 5m, 15m, 1h, 4h, 1d)</t>
  </si>
  <si>
    <t>donut distribution (1h, 4h, 1d)</t>
  </si>
  <si>
    <t>1h, 4h, 1d</t>
  </si>
  <si>
    <t>%negative</t>
  </si>
  <si>
    <t>%positive</t>
  </si>
  <si>
    <t>%neutral</t>
  </si>
  <si>
    <t>word frequency</t>
  </si>
  <si>
    <t>wordcloud (1h, 4h, 1d) thầy Bình đề xuất</t>
  </si>
  <si>
    <t>1 container</t>
  </si>
  <si>
    <t>futures</t>
  </si>
  <si>
    <t>klines</t>
  </si>
  <si>
    <t>indexPriceKlines</t>
  </si>
  <si>
    <t>bookTicker</t>
  </si>
  <si>
    <t>bookDepth</t>
  </si>
  <si>
    <t xml:space="preserve">aggTrades </t>
  </si>
  <si>
    <t>markPriceKlines</t>
  </si>
  <si>
    <t>metrics</t>
  </si>
  <si>
    <t>premiumIndexKlines</t>
  </si>
  <si>
    <t>trades</t>
  </si>
  <si>
    <t>fundingRate</t>
  </si>
  <si>
    <t>spot</t>
  </si>
  <si>
    <t>stream</t>
  </si>
  <si>
    <t>batch</t>
  </si>
  <si>
    <t>WebSocket</t>
  </si>
  <si>
    <t>REST API, Download</t>
  </si>
  <si>
    <t>REST API</t>
  </si>
  <si>
    <t>type</t>
  </si>
  <si>
    <t>source</t>
  </si>
  <si>
    <t>binance</t>
  </si>
  <si>
    <t>reddit</t>
  </si>
  <si>
    <t>submissions</t>
  </si>
  <si>
    <t>comments</t>
  </si>
  <si>
    <t>Download</t>
  </si>
  <si>
    <t>range</t>
  </si>
  <si>
    <t>31/12/2019 - Recent</t>
  </si>
  <si>
    <t>01/01/2023 - Recent</t>
  </si>
  <si>
    <t>16/05/2023 - 30/03/2024</t>
  </si>
  <si>
    <t>23/12/2019 - Recent</t>
  </si>
  <si>
    <t>01/09/2020 - Recent</t>
  </si>
  <si>
    <t>24/12/2019 - Recent</t>
  </si>
  <si>
    <t>08/09/2019 - Recent</t>
  </si>
  <si>
    <t>01/01/2020 - Recent</t>
  </si>
  <si>
    <t>17/08/2017 - Recent</t>
  </si>
  <si>
    <t>01/06/2005 - Recent</t>
  </si>
  <si>
    <t>fields</t>
  </si>
  <si>
    <t>agg_trade_id</t>
  </si>
  <si>
    <t>transact_time</t>
  </si>
  <si>
    <t>is_buyer_maker</t>
  </si>
  <si>
    <t>agg_trade_id, price, quantity, first_trade_id, last_trade_id, transact_time, is_buyer_maker</t>
  </si>
  <si>
    <t>calc_time, funding_interval_hours, last_funding_rate</t>
  </si>
  <si>
    <t xml:space="preserve">open_time, open, high, low, close, close_time </t>
  </si>
  <si>
    <t xml:space="preserve">open_time, open, high, low, close, volume, close_time, quote_volume, count, taker_buy_volume, taker_buy_quote_volume </t>
  </si>
  <si>
    <t xml:space="preserve">create_time, symbol, sum_open_interest, sum_open_interest_value, count_toptrader_long_short_ratio, sum_toptrader_long_short_ratio, count_long_short_ratio, sum_taker_long_short_vol_ratio </t>
  </si>
  <si>
    <t>aggregate_trade_id, price, quantity, first_trade_id, last_trade_id, timestamp, was_buyer_maker, was_best_price_match</t>
  </si>
  <si>
    <t>id,author, created_utc, link_id, body</t>
  </si>
  <si>
    <t>id,author, created_utc, subreddit, link_flair_text, title, selftext</t>
  </si>
  <si>
    <r>
      <rPr>
        <b/>
        <sz val="12"/>
        <rFont val="Calibri"/>
        <family val="2"/>
        <scheme val="minor"/>
      </rPr>
      <t>Future:</t>
    </r>
    <r>
      <rPr>
        <sz val="12"/>
        <rFont val="Calibri"/>
        <family val="2"/>
        <scheme val="minor"/>
      </rPr>
      <t xml:space="preserve"> Giá hợp đồng — bạn không mua/bán Bitcoin thật, chỉ mua/bán hợp đồng dựa trên giá Bitcoin.
</t>
    </r>
    <r>
      <rPr>
        <b/>
        <sz val="12"/>
        <rFont val="Calibri"/>
        <family val="2"/>
        <scheme val="minor"/>
      </rPr>
      <t>Spot:</t>
    </r>
    <r>
      <rPr>
        <sz val="12"/>
        <rFont val="Calibri"/>
        <family val="2"/>
        <scheme val="minor"/>
      </rPr>
      <t xml:space="preserve"> Giá giao ngay — giá mua/bán thật của Bitcoin ngay lập tức tại thời điểm đó trên thị trường thực.
</t>
    </r>
  </si>
  <si>
    <t>submissions/comments</t>
  </si>
  <si>
    <t xml:space="preserve">(2) derivative  </t>
  </si>
  <si>
    <t>(0) basics</t>
  </si>
  <si>
    <t>(1) open (first)</t>
  </si>
  <si>
    <t>(1) high (max)</t>
  </si>
  <si>
    <t>(1) low (min)</t>
  </si>
  <si>
    <t>(1) close (last)</t>
  </si>
  <si>
    <t>(1) [trade] turnover (sum)</t>
  </si>
  <si>
    <t>(1) [buy] turnover (sum)</t>
  </si>
  <si>
    <t>(1) sum_open_interest (mean, min, percentile, max, last)</t>
  </si>
  <si>
    <t>(1) sum_open_interest_value (mean, min, percentile, max, last)</t>
  </si>
  <si>
    <r>
      <t xml:space="preserve">[buy, 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theme="1"/>
        <rFont val="Calibri"/>
        <family val="2"/>
        <scheme val="minor"/>
      </rPr>
      <t xml:space="preserve"> = price * quantity (std)</t>
    </r>
  </si>
  <si>
    <r>
      <t xml:space="preserve">[buy, trade] </t>
    </r>
    <r>
      <rPr>
        <sz val="11"/>
        <color theme="8"/>
        <rFont val="Calibri"/>
        <family val="2"/>
        <scheme val="minor"/>
      </rPr>
      <t>corr</t>
    </r>
    <r>
      <rPr>
        <sz val="11"/>
        <color theme="1"/>
        <rFont val="Calibri"/>
        <family val="2"/>
        <scheme val="minor"/>
      </rPr>
      <t>(price, quantity; price, time; quantity, time)</t>
    </r>
  </si>
  <si>
    <r>
      <rPr>
        <sz val="11"/>
        <color theme="8"/>
        <rFont val="Calibri"/>
        <family val="2"/>
        <scheme val="minor"/>
      </rPr>
      <t>open</t>
    </r>
    <r>
      <rPr>
        <sz val="11"/>
        <color rgb="FFFF0000"/>
        <rFont val="Calibri"/>
        <family val="2"/>
        <scheme val="minor"/>
      </rPr>
      <t xml:space="preserve"> (first)</t>
    </r>
  </si>
  <si>
    <r>
      <rPr>
        <sz val="11"/>
        <color theme="8"/>
        <rFont val="Calibri"/>
        <family val="2"/>
        <scheme val="minor"/>
      </rPr>
      <t>high</t>
    </r>
    <r>
      <rPr>
        <sz val="11"/>
        <color rgb="FFFF0000"/>
        <rFont val="Calibri"/>
        <family val="2"/>
        <scheme val="minor"/>
      </rPr>
      <t xml:space="preserve"> (max)</t>
    </r>
  </si>
  <si>
    <r>
      <rPr>
        <sz val="11"/>
        <color theme="8"/>
        <rFont val="Calibri"/>
        <family val="2"/>
        <scheme val="minor"/>
      </rPr>
      <t>low</t>
    </r>
    <r>
      <rPr>
        <sz val="11"/>
        <color rgb="FFFF0000"/>
        <rFont val="Calibri"/>
        <family val="2"/>
        <scheme val="minor"/>
      </rPr>
      <t xml:space="preserve"> (min)</t>
    </r>
  </si>
  <si>
    <r>
      <rPr>
        <sz val="11"/>
        <color theme="8"/>
        <rFont val="Calibri"/>
        <family val="2"/>
        <scheme val="minor"/>
      </rPr>
      <t>close</t>
    </r>
    <r>
      <rPr>
        <sz val="11"/>
        <color rgb="FFFF0000"/>
        <rFont val="Calibri"/>
        <family val="2"/>
        <scheme val="minor"/>
      </rPr>
      <t xml:space="preserve"> (last)</t>
    </r>
  </si>
  <si>
    <r>
      <rPr>
        <sz val="11"/>
        <rFont val="Calibri"/>
        <family val="2"/>
        <scheme val="minor"/>
      </rPr>
      <t xml:space="preserve">[buy]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</si>
  <si>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rFont val="Calibri"/>
        <family val="2"/>
        <scheme val="minor"/>
      </rPr>
      <t xml:space="preserve">[trade]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</si>
  <si>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color theme="4"/>
        <rFont val="Calibri"/>
        <family val="2"/>
        <scheme val="minor"/>
      </rPr>
      <t>open</t>
    </r>
    <r>
      <rPr>
        <sz val="11"/>
        <rFont val="Calibri"/>
        <family val="2"/>
        <scheme val="minor"/>
      </rPr>
      <t xml:space="preserve"> (first)</t>
    </r>
  </si>
  <si>
    <r>
      <rPr>
        <sz val="11"/>
        <color theme="4"/>
        <rFont val="Calibri"/>
        <family val="2"/>
        <scheme val="minor"/>
      </rPr>
      <t>high</t>
    </r>
    <r>
      <rPr>
        <sz val="11"/>
        <rFont val="Calibri"/>
        <family val="2"/>
        <scheme val="minor"/>
      </rPr>
      <t xml:space="preserve"> (max)</t>
    </r>
  </si>
  <si>
    <r>
      <rPr>
        <sz val="11"/>
        <color theme="4"/>
        <rFont val="Calibri"/>
        <family val="2"/>
        <scheme val="minor"/>
      </rPr>
      <t>low</t>
    </r>
    <r>
      <rPr>
        <sz val="11"/>
        <rFont val="Calibri"/>
        <family val="2"/>
        <scheme val="minor"/>
      </rPr>
      <t xml:space="preserve"> (min)</t>
    </r>
  </si>
  <si>
    <r>
      <rPr>
        <sz val="11"/>
        <color theme="4"/>
        <rFont val="Calibri"/>
        <family val="2"/>
        <scheme val="minor"/>
      </rPr>
      <t>close</t>
    </r>
    <r>
      <rPr>
        <sz val="11"/>
        <rFont val="Calibri"/>
        <family val="2"/>
        <scheme val="minor"/>
      </rPr>
      <t xml:space="preserve"> (last)</t>
    </r>
  </si>
  <si>
    <r>
      <rPr>
        <sz val="11"/>
        <color theme="4"/>
        <rFont val="Calibri"/>
        <family val="2"/>
        <scheme val="minor"/>
      </rPr>
      <t>sum_open_interest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</si>
  <si>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sum_open_interest_value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</si>
  <si>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count_toptrader_long_short_ratio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</si>
  <si>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</si>
  <si>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count_long_short_ratio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</si>
  <si>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sum_taker_long_short_vol_ratio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</si>
  <si>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t xml:space="preserve">score </t>
    </r>
    <r>
      <rPr>
        <sz val="11"/>
        <rFont val="Calibri"/>
        <family val="2"/>
        <scheme val="minor"/>
      </rPr>
      <t xml:space="preserve">= (positive − negative) / total </t>
    </r>
  </si>
  <si>
    <r>
      <t xml:space="preserve">confidence </t>
    </r>
    <r>
      <rPr>
        <sz val="11"/>
        <rFont val="Calibri"/>
        <family val="2"/>
        <scheme val="minor"/>
      </rPr>
      <t xml:space="preserve">= (positive + negative) / total </t>
    </r>
  </si>
  <si>
    <r>
      <rPr>
        <sz val="11"/>
        <color theme="4"/>
        <rFont val="Calibri"/>
        <family val="2"/>
        <scheme val="minor"/>
      </rPr>
      <t>relative_range</t>
    </r>
    <r>
      <rPr>
        <sz val="11"/>
        <color theme="1"/>
        <rFont val="Calibri"/>
        <family val="2"/>
        <scheme val="minor"/>
      </rPr>
      <t xml:space="preserve"> = (high - low) / close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</si>
  <si>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[open(t) - close(t-1)] / close(t-1)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</si>
  <si>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open </t>
    </r>
  </si>
  <si>
    <r>
      <rPr>
        <sz val="11"/>
        <color theme="4"/>
        <rFont val="Calibri"/>
        <family val="2"/>
        <scheme val="minor"/>
      </rPr>
      <t>upper_wick_percentage</t>
    </r>
    <r>
      <rPr>
        <sz val="11"/>
        <color theme="1"/>
        <rFont val="Calibri"/>
        <family val="2"/>
        <scheme val="minor"/>
      </rPr>
      <t xml:space="preserve">  = [high - max(open, close)] /  (high - low)</t>
    </r>
  </si>
  <si>
    <r>
      <rPr>
        <sz val="11"/>
        <color theme="4"/>
        <rFont val="Calibri"/>
        <family val="2"/>
        <scheme val="minor"/>
      </rPr>
      <t>lower_wick_percentage</t>
    </r>
    <r>
      <rPr>
        <sz val="11"/>
        <color theme="1"/>
        <rFont val="Calibri"/>
        <family val="2"/>
        <scheme val="minor"/>
      </rPr>
      <t xml:space="preserve"> = [min(open, close) - low] / (high - low)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</si>
  <si>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(open_t - close_t-1) / (close_t-1 + 1e-8)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</si>
  <si>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(open + 1e-8)</t>
    </r>
  </si>
  <si>
    <t xml:space="preserve">(3) close (last) </t>
  </si>
  <si>
    <t>(3) [trade] turnover (sum)</t>
  </si>
  <si>
    <t>(3) [buy] turnover (sum)</t>
  </si>
  <si>
    <t>(3) sum_open_interest (last)</t>
  </si>
  <si>
    <t>(3) sum_open_interest_value(last)</t>
  </si>
  <si>
    <t>(1) count_toptrader_long_short_ratio (last)</t>
  </si>
  <si>
    <t>(1) sum_toptrader_long_short_ratio (last)</t>
  </si>
  <si>
    <t>(1) count_long_short_ratio (last)</t>
  </si>
  <si>
    <t>(1) sum_taker_long_short_vol_ratio (last)</t>
  </si>
  <si>
    <t>(1) [buy, trade] rate (mean)</t>
  </si>
  <si>
    <t xml:space="preserve">(2) relative range </t>
  </si>
  <si>
    <t>(1) [trade] quantity (sum)</t>
  </si>
  <si>
    <t>(1) [buy] quantity (sum)</t>
  </si>
  <si>
    <t>(1) [trade] count (sum)</t>
  </si>
  <si>
    <t>(1) [buy, tick up] count (sum)</t>
  </si>
  <si>
    <t>RSI14, MACD(12,26,9), EMA20, EMA50, ATR14</t>
  </si>
  <si>
    <t>(3) log return</t>
  </si>
  <si>
    <t>(1) [buy, trade] quantity (mean, min, percentile, max)</t>
  </si>
  <si>
    <r>
      <t xml:space="preserve">[buy, trade] </t>
    </r>
    <r>
      <rPr>
        <sz val="11"/>
        <color theme="8"/>
        <rFont val="Calibri"/>
        <family val="2"/>
        <scheme val="minor"/>
      </rPr>
      <t>quantity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</si>
  <si>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r>
      <t xml:space="preserve">[buy, trade] </t>
    </r>
    <r>
      <rPr>
        <sz val="11"/>
        <color theme="8"/>
        <rFont val="Calibri"/>
        <family val="2"/>
        <scheme val="minor"/>
      </rPr>
      <t>rate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>, std)</t>
    </r>
  </si>
  <si>
    <r>
      <t xml:space="preserve">[trade] </t>
    </r>
    <r>
      <rPr>
        <sz val="11"/>
        <color theme="8"/>
        <rFont val="Calibri"/>
        <family val="2"/>
        <scheme val="minor"/>
      </rPr>
      <t>count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</si>
  <si>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[buy]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</si>
  <si>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[trade]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</si>
  <si>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t>(1) count</t>
  </si>
  <si>
    <t>(3) [trade] quantity (sum)</t>
  </si>
  <si>
    <t>(3) [buy] quantity (sum)</t>
  </si>
  <si>
    <t>(3) [trade] count (sum)</t>
  </si>
  <si>
    <t>(3) [buy, trade] rate (mean)</t>
  </si>
  <si>
    <t>(3) [buy, tick up] count (sum)</t>
  </si>
  <si>
    <t>(7) target</t>
  </si>
  <si>
    <t>(3) [trade] quantity (sum)[std, zscore]</t>
  </si>
  <si>
    <t>(3) [trade] turnover (sum)[std, zscore]</t>
  </si>
  <si>
    <t>(3) [trade] count (sum)[std, zscore]</t>
  </si>
  <si>
    <t>(3) [buy] turnover (sum)[std, zscore]</t>
  </si>
  <si>
    <t>(3) [buy] quantity (sum)[std, zscore]</t>
  </si>
  <si>
    <t>(3) [buy, trade] rate (mean)[std, zscore]</t>
  </si>
  <si>
    <t>(3) [buy, tick up] count (sum)[std, zscore]</t>
  </si>
  <si>
    <t>(2) relative range [std, zscore]</t>
  </si>
  <si>
    <t>(3) close (last)[mean, std, zscore]</t>
  </si>
  <si>
    <t>(1) close (last)[std, zscore]</t>
  </si>
  <si>
    <t>(3) sum_open_interest (last)[mean, std, zscore]</t>
  </si>
  <si>
    <t>(3) sum_open_interest_value(last)[mean, std, zscore]</t>
  </si>
  <si>
    <t>(1) count_toptrader_long_short_ratio (last)[std, zscore]</t>
  </si>
  <si>
    <t>(1) sum_toptrader_long_short_ratio (last)[std, zscore]</t>
  </si>
  <si>
    <t>(1) sum_taker_long_short_vol_ratio (last)[std, zscore]</t>
  </si>
  <si>
    <t>(1) count_long_short_ratio (last)[std, zscore]</t>
  </si>
  <si>
    <t xml:space="preserve">(1) score </t>
  </si>
  <si>
    <t>(3) count [std, zscore]</t>
  </si>
  <si>
    <t>(1) score [std, zscore]</t>
  </si>
  <si>
    <t>(1) confidence [std, zscore]</t>
  </si>
  <si>
    <t>(1) %negative [std, zscore]</t>
  </si>
  <si>
    <t>(1) %positive [std, zscore]</t>
  </si>
  <si>
    <t>(1) %neutral [std, zscore]</t>
  </si>
  <si>
    <t xml:space="preserve">(3) count </t>
  </si>
  <si>
    <t xml:space="preserve">(1) confidence </t>
  </si>
  <si>
    <t xml:space="preserve">(1) %negative </t>
  </si>
  <si>
    <t xml:space="preserve">(1) %positive </t>
  </si>
  <si>
    <t xml:space="preserve">(1) %neutral </t>
  </si>
  <si>
    <t xml:space="preserve">futures-klines
</t>
  </si>
  <si>
    <t>1 tables</t>
  </si>
  <si>
    <t>Phân tích cảm xúc - Transformer Model</t>
  </si>
  <si>
    <t>Xác định liên quan - Transformer Model</t>
  </si>
  <si>
    <t>Nhận diện ngôn ngữ - fastText Model
Phát hiện bot
Phân tích cảm xúc - VADER Model</t>
  </si>
  <si>
    <t>Giải mã HTML và chuẩn hóa Unicode</t>
  </si>
  <si>
    <t>Có</t>
  </si>
  <si>
    <t>Loại bỏ</t>
  </si>
  <si>
    <t>Chuyển thành văn bản</t>
  </si>
  <si>
    <t>Xử lý biểu tượng cảm xúc</t>
  </si>
  <si>
    <t>Xử lý đường dẫn liên kết</t>
  </si>
  <si>
    <t>Chuyển thành token [URL]</t>
  </si>
  <si>
    <t>Xử lý nội dung media</t>
  </si>
  <si>
    <t>Xử lý đường dẫn Reddit</t>
  </si>
  <si>
    <t>Chuyển thành token [REDDIT_PATH]</t>
  </si>
  <si>
    <t>Chuyển thành token [MEDIA]</t>
  </si>
  <si>
    <t>Xử lý subreddit mention</t>
  </si>
  <si>
    <t xml:space="preserve">Xử lý user mention </t>
  </si>
  <si>
    <t>Chuyển thành token [USER]</t>
  </si>
  <si>
    <t>Chuyển thành token [SUBREDDIT]</t>
  </si>
  <si>
    <t>Rút gọn ký tự lặp</t>
  </si>
  <si>
    <t>Chuyển chữ thường</t>
  </si>
  <si>
    <t>Không</t>
  </si>
  <si>
    <t>Chuẩn hóa khoảng trắng</t>
  </si>
  <si>
    <t>Chuẩn hóa dấu câu</t>
  </si>
  <si>
    <t>Loại bỏ ký tự nhiễu</t>
  </si>
  <si>
    <t>Giữ nguyên</t>
  </si>
  <si>
    <t>(1) aggregation (1d)</t>
  </si>
  <si>
    <t>(2) relative range</t>
  </si>
  <si>
    <t>(3) close (last)</t>
  </si>
  <si>
    <t>(3) count</t>
  </si>
  <si>
    <t>(1) score</t>
  </si>
  <si>
    <t>(1) confidence</t>
  </si>
  <si>
    <t>(1) %negative</t>
  </si>
  <si>
    <t>(1) %positive</t>
  </si>
  <si>
    <t>(1) %neutra</t>
  </si>
  <si>
    <r>
      <t xml:space="preserve">[buy, trade] </t>
    </r>
    <r>
      <rPr>
        <sz val="11"/>
        <color theme="8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</si>
  <si>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t>(1) [buy, trade] price (mean, min, percentile, max)</t>
  </si>
  <si>
    <t>(3) [buy, trade] price (mean)[mean, std, zscore]</t>
  </si>
  <si>
    <t>(3) [buy, trade] price (mean)</t>
  </si>
  <si>
    <r>
      <t xml:space="preserve">[buy, trade] </t>
    </r>
    <r>
      <rPr>
        <sz val="11"/>
        <color rgb="FFFF0000"/>
        <rFont val="Calibri"/>
        <family val="2"/>
        <scheme val="minor"/>
      </rPr>
      <t>vwap</t>
    </r>
  </si>
  <si>
    <t>(1) [buy, trade] vwap</t>
  </si>
  <si>
    <t>(3) [buy, trade] vwap [mean, std, zscore]</t>
  </si>
  <si>
    <t>(3) [buy, trade] vwap</t>
  </si>
  <si>
    <r>
      <t xml:space="preserve">[trade, buy, tick up] </t>
    </r>
    <r>
      <rPr>
        <sz val="11"/>
        <color theme="8"/>
        <rFont val="Calibri"/>
        <family val="2"/>
        <scheme val="minor"/>
      </rPr>
      <t>count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>)</t>
    </r>
  </si>
  <si>
    <t>imbalance: quantity, turnover</t>
  </si>
  <si>
    <t>imbalance: [buy, tick up] count</t>
  </si>
  <si>
    <t>(2) imbalance: [buy, tick up] count [std, zscore]</t>
  </si>
  <si>
    <t>(2) imbalance: quantity, turnover [std, zscore]</t>
  </si>
  <si>
    <t>(2) imbalance: quantity, turnover</t>
  </si>
  <si>
    <t xml:space="preserve">(2) imbalance: [buy, tick up] count </t>
  </si>
  <si>
    <t>(4) rolling(4, 8, 16, 32)</t>
  </si>
  <si>
    <t>(6) momentum(4, 8, 16, 32)</t>
  </si>
  <si>
    <t>(7) lag (1, 2, 4, 8, 16, 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</si>
</sst>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C7CE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5" fillId="4" borderId="2" applyNumberFormat="0" applyFont="0" applyAlignment="0" applyProtection="0"/>
    <xf numFmtId="0" fontId="6" fillId="5" borderId="0" applyNumberFormat="0" applyBorder="0" applyAlignment="0" applyProtection="0"/>
  </cellStyleXfs>
  <cellXfs count="8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1" applyFont="1" applyBorder="1" applyAlignment="1">
      <alignment horizontal="left"/>
    </xf>
    <xf numFmtId="0" fontId="2" fillId="2" borderId="1" xfId="1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2" fillId="0" borderId="1" xfId="1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1" applyFont="1" applyFill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7" fillId="0" borderId="1" xfId="0" applyFont="1" applyBorder="1"/>
    <xf numFmtId="0" fontId="7" fillId="5" borderId="1" xfId="3" applyFont="1" applyBorder="1"/>
    <xf numFmtId="0" fontId="1" fillId="2" borderId="1" xfId="1" applyBorder="1"/>
    <xf numFmtId="0" fontId="3" fillId="0" borderId="0" xfId="2" applyFont="1" applyFill="1" applyBorder="1" applyAlignment="1">
      <alignment vertical="top"/>
    </xf>
    <xf numFmtId="0" fontId="7" fillId="0" borderId="9" xfId="0" applyFont="1" applyBorder="1"/>
    <xf numFmtId="0" fontId="0" fillId="0" borderId="9" xfId="0" applyBorder="1"/>
    <xf numFmtId="0" fontId="0" fillId="0" borderId="14" xfId="0" applyBorder="1"/>
    <xf numFmtId="0" fontId="0" fillId="0" borderId="7" xfId="0" applyBorder="1"/>
    <xf numFmtId="0" fontId="0" fillId="0" borderId="11" xfId="0" applyBorder="1"/>
    <xf numFmtId="0" fontId="2" fillId="0" borderId="7" xfId="0" applyFont="1" applyBorder="1"/>
    <xf numFmtId="0" fontId="7" fillId="0" borderId="7" xfId="0" applyFont="1" applyBorder="1"/>
    <xf numFmtId="0" fontId="0" fillId="0" borderId="16" xfId="0" applyBorder="1"/>
    <xf numFmtId="0" fontId="0" fillId="0" borderId="17" xfId="0" applyBorder="1"/>
    <xf numFmtId="0" fontId="2" fillId="0" borderId="9" xfId="0" applyFont="1" applyBorder="1"/>
    <xf numFmtId="0" fontId="8" fillId="0" borderId="7" xfId="0" applyFont="1" applyBorder="1"/>
    <xf numFmtId="0" fontId="9" fillId="0" borderId="11" xfId="0" applyFont="1" applyBorder="1" applyAlignment="1">
      <alignment wrapText="1"/>
    </xf>
    <xf numFmtId="0" fontId="7" fillId="0" borderId="16" xfId="0" applyFont="1" applyBorder="1"/>
    <xf numFmtId="0" fontId="2" fillId="0" borderId="16" xfId="0" applyFont="1" applyBorder="1"/>
    <xf numFmtId="0" fontId="8" fillId="0" borderId="9" xfId="0" applyFont="1" applyBorder="1"/>
    <xf numFmtId="0" fontId="9" fillId="0" borderId="7" xfId="0" applyFont="1" applyBorder="1"/>
    <xf numFmtId="0" fontId="2" fillId="0" borderId="0" xfId="0" applyFont="1"/>
    <xf numFmtId="0" fontId="2" fillId="0" borderId="6" xfId="1" applyFont="1" applyFill="1" applyBorder="1" applyAlignment="1">
      <alignment horizontal="center" vertical="center"/>
    </xf>
    <xf numFmtId="0" fontId="2" fillId="0" borderId="6" xfId="1" applyFont="1" applyFill="1" applyBorder="1" applyAlignment="1">
      <alignment horizontal="center"/>
    </xf>
    <xf numFmtId="0" fontId="2" fillId="0" borderId="9" xfId="1" applyFont="1" applyFill="1" applyBorder="1"/>
    <xf numFmtId="0" fontId="2" fillId="0" borderId="7" xfId="1" applyFont="1" applyFill="1" applyBorder="1"/>
    <xf numFmtId="0" fontId="2" fillId="0" borderId="16" xfId="1" applyFont="1" applyFill="1" applyBorder="1"/>
    <xf numFmtId="0" fontId="2" fillId="0" borderId="10" xfId="1" applyFont="1" applyFill="1" applyBorder="1" applyAlignment="1">
      <alignment horizontal="center" vertical="center"/>
    </xf>
    <xf numFmtId="0" fontId="1" fillId="2" borderId="1" xfId="1" applyBorder="1" applyAlignment="1">
      <alignment horizontal="left"/>
    </xf>
    <xf numFmtId="0" fontId="2" fillId="0" borderId="1" xfId="1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9" fillId="0" borderId="16" xfId="0" applyFont="1" applyBorder="1"/>
    <xf numFmtId="0" fontId="0" fillId="0" borderId="6" xfId="0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2" fillId="0" borderId="17" xfId="0" applyFont="1" applyBorder="1"/>
    <xf numFmtId="0" fontId="0" fillId="0" borderId="6" xfId="0" applyBorder="1" applyAlignment="1">
      <alignment horizontal="center" vertical="center"/>
    </xf>
    <xf numFmtId="0" fontId="2" fillId="0" borderId="12" xfId="1" applyFont="1" applyFill="1" applyBorder="1" applyAlignment="1">
      <alignment horizontal="center" vertical="center"/>
    </xf>
    <xf numFmtId="0" fontId="2" fillId="0" borderId="13" xfId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4" borderId="1" xfId="2" applyFont="1" applyBorder="1" applyAlignment="1">
      <alignment horizontal="left" vertical="top" wrapText="1"/>
    </xf>
    <xf numFmtId="0" fontId="0" fillId="0" borderId="1" xfId="0" applyBorder="1"/>
    <xf numFmtId="0" fontId="2" fillId="2" borderId="4" xfId="1" applyFont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5" xfId="1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2" borderId="4" xfId="1" applyBorder="1" applyAlignment="1">
      <alignment vertical="center" wrapText="1"/>
    </xf>
    <xf numFmtId="0" fontId="1" fillId="2" borderId="5" xfId="1" applyBorder="1" applyAlignment="1">
      <alignment vertical="center" wrapText="1"/>
    </xf>
    <xf numFmtId="0" fontId="1" fillId="2" borderId="3" xfId="1" applyBorder="1" applyAlignment="1">
      <alignment vertical="center" wrapText="1"/>
    </xf>
  </cellXfs>
  <cellStyles count="4">
    <cellStyle name="Bình thường" xfId="0" builtinId="0"/>
    <cellStyle name="Ghi chú" xfId="2" builtinId="10"/>
    <cellStyle name="Tốt" xfId="1" builtinId="26"/>
    <cellStyle name="Xấu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0C796-4410-4F7D-81E4-55A1BF664BAA}">
  <dimension ref="A1:G23"/>
  <sheetViews>
    <sheetView zoomScale="115" zoomScaleNormal="115" workbookViewId="0">
      <selection activeCell="G25" sqref="G25"/>
    </sheetView>
  </sheetViews>
  <sheetFormatPr defaultRowHeight="15" x14ac:dyDescent="0.25"/>
  <cols>
    <col min="1" max="1" width="8" bestFit="1" customWidth="1"/>
    <col min="2" max="2" width="7.42578125" bestFit="1" customWidth="1"/>
    <col min="3" max="3" width="19.85546875" bestFit="1" customWidth="1"/>
    <col min="4" max="4" width="23" bestFit="1" customWidth="1"/>
    <col min="5" max="5" width="18.85546875" bestFit="1" customWidth="1"/>
    <col min="6" max="6" width="16.5703125" customWidth="1"/>
    <col min="7" max="7" width="170.7109375" customWidth="1"/>
  </cols>
  <sheetData>
    <row r="1" spans="1:7" x14ac:dyDescent="0.25">
      <c r="A1" s="72" t="s">
        <v>73</v>
      </c>
      <c r="B1" s="72"/>
      <c r="C1" s="11" t="s">
        <v>72</v>
      </c>
      <c r="D1" s="11" t="s">
        <v>79</v>
      </c>
      <c r="E1" s="11" t="s">
        <v>68</v>
      </c>
      <c r="F1" s="11" t="s">
        <v>67</v>
      </c>
      <c r="G1" s="11" t="s">
        <v>90</v>
      </c>
    </row>
    <row r="2" spans="1:7" x14ac:dyDescent="0.25">
      <c r="A2" s="72" t="s">
        <v>74</v>
      </c>
      <c r="B2" s="72" t="s">
        <v>55</v>
      </c>
      <c r="C2" s="22" t="s">
        <v>60</v>
      </c>
      <c r="D2" s="11" t="s">
        <v>80</v>
      </c>
      <c r="E2" s="11" t="s">
        <v>70</v>
      </c>
      <c r="F2" s="11" t="s">
        <v>69</v>
      </c>
      <c r="G2" s="11" t="s">
        <v>94</v>
      </c>
    </row>
    <row r="3" spans="1:7" x14ac:dyDescent="0.25">
      <c r="A3" s="72"/>
      <c r="B3" s="72"/>
      <c r="C3" s="22" t="s">
        <v>56</v>
      </c>
      <c r="D3" s="11" t="s">
        <v>80</v>
      </c>
      <c r="E3" s="11" t="s">
        <v>70</v>
      </c>
      <c r="F3" s="11" t="s">
        <v>71</v>
      </c>
      <c r="G3" s="11" t="s">
        <v>97</v>
      </c>
    </row>
    <row r="4" spans="1:7" x14ac:dyDescent="0.25">
      <c r="A4" s="72"/>
      <c r="B4" s="72"/>
      <c r="C4" s="22" t="s">
        <v>62</v>
      </c>
      <c r="D4" s="11" t="s">
        <v>84</v>
      </c>
      <c r="E4" s="11" t="s">
        <v>70</v>
      </c>
      <c r="F4" s="11" t="s">
        <v>71</v>
      </c>
      <c r="G4" s="11" t="s">
        <v>98</v>
      </c>
    </row>
    <row r="5" spans="1:7" x14ac:dyDescent="0.25">
      <c r="A5" s="72"/>
      <c r="B5" s="72"/>
      <c r="C5" s="22" t="s">
        <v>63</v>
      </c>
      <c r="D5" s="11" t="s">
        <v>85</v>
      </c>
      <c r="E5" s="11" t="s">
        <v>70</v>
      </c>
      <c r="F5" s="11" t="s">
        <v>71</v>
      </c>
      <c r="G5" s="11" t="s">
        <v>96</v>
      </c>
    </row>
    <row r="6" spans="1:7" x14ac:dyDescent="0.25">
      <c r="A6" s="72"/>
      <c r="B6" s="72"/>
      <c r="C6" s="21" t="s">
        <v>65</v>
      </c>
      <c r="D6" s="20" t="s">
        <v>87</v>
      </c>
      <c r="E6" s="20" t="s">
        <v>70</v>
      </c>
      <c r="F6" s="20" t="s">
        <v>71</v>
      </c>
      <c r="G6" s="20" t="s">
        <v>95</v>
      </c>
    </row>
    <row r="7" spans="1:7" x14ac:dyDescent="0.25">
      <c r="A7" s="72"/>
      <c r="B7" s="72"/>
      <c r="C7" s="21" t="s">
        <v>61</v>
      </c>
      <c r="D7" s="20" t="s">
        <v>83</v>
      </c>
      <c r="E7" s="20" t="s">
        <v>70</v>
      </c>
      <c r="F7" s="20" t="s">
        <v>71</v>
      </c>
      <c r="G7" s="20" t="s">
        <v>96</v>
      </c>
    </row>
    <row r="8" spans="1:7" x14ac:dyDescent="0.25">
      <c r="A8" s="72"/>
      <c r="B8" s="72"/>
      <c r="C8" s="21" t="s">
        <v>57</v>
      </c>
      <c r="D8" s="20" t="s">
        <v>83</v>
      </c>
      <c r="E8" s="20" t="s">
        <v>70</v>
      </c>
      <c r="F8" s="20" t="s">
        <v>71</v>
      </c>
      <c r="G8" s="20" t="s">
        <v>96</v>
      </c>
    </row>
    <row r="9" spans="1:7" x14ac:dyDescent="0.25">
      <c r="A9" s="72"/>
      <c r="B9" s="72"/>
      <c r="C9" s="20" t="s">
        <v>64</v>
      </c>
      <c r="D9" s="20" t="s">
        <v>86</v>
      </c>
      <c r="E9" s="21" t="s">
        <v>78</v>
      </c>
      <c r="F9" s="20" t="s">
        <v>69</v>
      </c>
      <c r="G9" s="11"/>
    </row>
    <row r="10" spans="1:7" x14ac:dyDescent="0.25">
      <c r="A10" s="72"/>
      <c r="B10" s="72"/>
      <c r="C10" s="20" t="s">
        <v>59</v>
      </c>
      <c r="D10" s="21" t="s">
        <v>81</v>
      </c>
      <c r="E10" s="21" t="s">
        <v>78</v>
      </c>
      <c r="F10" s="20" t="s">
        <v>69</v>
      </c>
      <c r="G10" s="11"/>
    </row>
    <row r="11" spans="1:7" x14ac:dyDescent="0.25">
      <c r="A11" s="72"/>
      <c r="B11" s="72"/>
      <c r="C11" s="20" t="s">
        <v>58</v>
      </c>
      <c r="D11" s="21" t="s">
        <v>82</v>
      </c>
      <c r="E11" s="21" t="s">
        <v>78</v>
      </c>
      <c r="F11" s="20" t="s">
        <v>69</v>
      </c>
      <c r="G11" s="11"/>
    </row>
    <row r="12" spans="1:7" x14ac:dyDescent="0.25">
      <c r="A12" s="72"/>
      <c r="B12" s="72" t="s">
        <v>66</v>
      </c>
      <c r="C12" s="21" t="s">
        <v>60</v>
      </c>
      <c r="D12" s="20" t="s">
        <v>88</v>
      </c>
      <c r="E12" s="20" t="s">
        <v>70</v>
      </c>
      <c r="F12" s="11" t="s">
        <v>69</v>
      </c>
      <c r="G12" s="20" t="s">
        <v>99</v>
      </c>
    </row>
    <row r="13" spans="1:7" x14ac:dyDescent="0.25">
      <c r="A13" s="72"/>
      <c r="B13" s="72"/>
      <c r="C13" s="22" t="s">
        <v>56</v>
      </c>
      <c r="D13" s="11" t="s">
        <v>88</v>
      </c>
      <c r="E13" s="11" t="s">
        <v>70</v>
      </c>
      <c r="F13" s="11" t="s">
        <v>71</v>
      </c>
      <c r="G13" s="11" t="s">
        <v>97</v>
      </c>
    </row>
    <row r="14" spans="1:7" x14ac:dyDescent="0.25">
      <c r="A14" s="72"/>
      <c r="B14" s="72"/>
      <c r="C14" s="20" t="s">
        <v>64</v>
      </c>
      <c r="D14" s="20" t="s">
        <v>88</v>
      </c>
      <c r="E14" s="21" t="s">
        <v>78</v>
      </c>
      <c r="F14" s="20" t="s">
        <v>69</v>
      </c>
      <c r="G14" s="11"/>
    </row>
    <row r="15" spans="1:7" x14ac:dyDescent="0.25">
      <c r="A15" s="72" t="s">
        <v>75</v>
      </c>
      <c r="B15" s="72"/>
      <c r="C15" s="11" t="s">
        <v>76</v>
      </c>
      <c r="D15" s="11" t="s">
        <v>89</v>
      </c>
      <c r="E15" s="11" t="s">
        <v>70</v>
      </c>
      <c r="F15" s="11" t="s">
        <v>71</v>
      </c>
      <c r="G15" s="11" t="s">
        <v>101</v>
      </c>
    </row>
    <row r="16" spans="1:7" x14ac:dyDescent="0.25">
      <c r="A16" s="72"/>
      <c r="B16" s="72"/>
      <c r="C16" s="11" t="s">
        <v>77</v>
      </c>
      <c r="D16" s="11" t="s">
        <v>89</v>
      </c>
      <c r="E16" s="11" t="s">
        <v>70</v>
      </c>
      <c r="F16" s="11" t="s">
        <v>71</v>
      </c>
      <c r="G16" s="11" t="s">
        <v>100</v>
      </c>
    </row>
    <row r="18" spans="1:7" x14ac:dyDescent="0.25">
      <c r="A18" s="71" t="s">
        <v>102</v>
      </c>
      <c r="B18" s="71"/>
      <c r="C18" s="71"/>
      <c r="D18" s="71"/>
      <c r="E18" s="71"/>
      <c r="F18" s="71"/>
    </row>
    <row r="19" spans="1:7" ht="15" customHeight="1" x14ac:dyDescent="0.25">
      <c r="A19" s="71"/>
      <c r="B19" s="71"/>
      <c r="C19" s="71"/>
      <c r="D19" s="71"/>
      <c r="E19" s="71"/>
      <c r="F19" s="71"/>
      <c r="G19" s="23"/>
    </row>
    <row r="20" spans="1:7" ht="15" customHeight="1" x14ac:dyDescent="0.25">
      <c r="G20" s="23"/>
    </row>
    <row r="21" spans="1:7" ht="15" customHeight="1" x14ac:dyDescent="0.25">
      <c r="A21" s="23"/>
      <c r="B21" s="23"/>
      <c r="C21" s="23"/>
      <c r="D21" s="23"/>
      <c r="E21" s="23"/>
      <c r="F21" s="23"/>
      <c r="G21" s="23"/>
    </row>
    <row r="22" spans="1:7" ht="15" customHeight="1" x14ac:dyDescent="0.25">
      <c r="A22" s="23"/>
      <c r="B22" s="23"/>
      <c r="C22" s="23"/>
      <c r="D22" s="23"/>
      <c r="E22" s="23"/>
      <c r="F22" s="23"/>
      <c r="G22" s="23"/>
    </row>
    <row r="23" spans="1:7" ht="15" customHeight="1" x14ac:dyDescent="0.25">
      <c r="G23" s="23"/>
    </row>
  </sheetData>
  <mergeCells count="6">
    <mergeCell ref="A18:F19"/>
    <mergeCell ref="B2:B11"/>
    <mergeCell ref="B12:B14"/>
    <mergeCell ref="A2:A14"/>
    <mergeCell ref="A1:B1"/>
    <mergeCell ref="A15:B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9"/>
  <sheetViews>
    <sheetView tabSelected="1" zoomScaleNormal="100" workbookViewId="0">
      <selection activeCell="E6" sqref="E6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23.7109375" bestFit="1" customWidth="1"/>
    <col min="4" max="4" width="39.85546875" bestFit="1" customWidth="1"/>
    <col min="5" max="5" width="77" bestFit="1" customWidth="1"/>
    <col min="6" max="6" width="62.85546875" bestFit="1" customWidth="1"/>
    <col min="7" max="7" width="61.140625" style="40" bestFit="1" customWidth="1"/>
    <col min="8" max="8" width="55.42578125" style="40" bestFit="1" customWidth="1"/>
    <col min="9" max="9" width="44.5703125" style="40" bestFit="1" customWidth="1"/>
    <col min="10" max="10" width="44" style="40" bestFit="1" customWidth="1"/>
    <col min="11" max="11" width="9.42578125" style="40" bestFit="1" customWidth="1"/>
  </cols>
  <sheetData>
    <row r="1" spans="1:11" s="40" customFormat="1" ht="15.75" thickBot="1" x14ac:dyDescent="0.3">
      <c r="A1" s="57" t="s">
        <v>73</v>
      </c>
      <c r="B1" s="58"/>
      <c r="C1" s="41" t="s">
        <v>72</v>
      </c>
      <c r="D1" s="41" t="s">
        <v>105</v>
      </c>
      <c r="E1" s="41" t="s">
        <v>226</v>
      </c>
      <c r="F1" s="46" t="s">
        <v>104</v>
      </c>
      <c r="G1" s="41" t="s">
        <v>157</v>
      </c>
      <c r="H1" s="42" t="s">
        <v>250</v>
      </c>
      <c r="I1" s="41" t="s">
        <v>251</v>
      </c>
      <c r="J1" s="41" t="s">
        <v>252</v>
      </c>
      <c r="K1" s="41" t="s">
        <v>170</v>
      </c>
    </row>
    <row r="2" spans="1:11" x14ac:dyDescent="0.25">
      <c r="A2" s="68" t="s">
        <v>74</v>
      </c>
      <c r="B2" s="68" t="s">
        <v>55</v>
      </c>
      <c r="C2" s="59" t="s">
        <v>60</v>
      </c>
      <c r="D2" s="24" t="s">
        <v>91</v>
      </c>
      <c r="E2" s="25" t="s">
        <v>235</v>
      </c>
      <c r="F2" s="26"/>
      <c r="G2" s="33" t="s">
        <v>236</v>
      </c>
      <c r="H2" s="33" t="s">
        <v>237</v>
      </c>
      <c r="I2" s="43" t="s">
        <v>238</v>
      </c>
      <c r="J2" s="33" t="s">
        <v>238</v>
      </c>
      <c r="K2" s="33"/>
    </row>
    <row r="3" spans="1:11" x14ac:dyDescent="0.25">
      <c r="A3" s="68"/>
      <c r="B3" s="68"/>
      <c r="C3" s="60"/>
      <c r="D3" s="27" t="s">
        <v>0</v>
      </c>
      <c r="E3" s="27" t="s">
        <v>159</v>
      </c>
      <c r="F3" s="28"/>
      <c r="G3" s="29" t="s">
        <v>158</v>
      </c>
      <c r="H3" s="29"/>
      <c r="I3" s="29"/>
      <c r="J3" s="29"/>
      <c r="K3" s="29"/>
    </row>
    <row r="4" spans="1:11" x14ac:dyDescent="0.25">
      <c r="A4" s="68"/>
      <c r="B4" s="68"/>
      <c r="C4" s="60"/>
      <c r="D4" s="27" t="s">
        <v>1</v>
      </c>
      <c r="E4" s="27" t="s">
        <v>160</v>
      </c>
      <c r="F4" s="28"/>
      <c r="G4" s="29" t="s">
        <v>150</v>
      </c>
      <c r="H4" s="29" t="s">
        <v>176</v>
      </c>
      <c r="I4" s="44" t="s">
        <v>168</v>
      </c>
      <c r="J4" s="29" t="s">
        <v>168</v>
      </c>
      <c r="K4" s="29"/>
    </row>
    <row r="5" spans="1:11" x14ac:dyDescent="0.25">
      <c r="A5" s="68"/>
      <c r="B5" s="68"/>
      <c r="C5" s="60"/>
      <c r="D5" s="30" t="s">
        <v>2</v>
      </c>
      <c r="E5" s="27" t="s">
        <v>243</v>
      </c>
      <c r="F5" s="28"/>
      <c r="G5" s="29" t="s">
        <v>155</v>
      </c>
      <c r="H5" s="29" t="s">
        <v>177</v>
      </c>
      <c r="I5" s="44" t="s">
        <v>169</v>
      </c>
      <c r="J5" s="29" t="s">
        <v>169</v>
      </c>
      <c r="K5" s="29"/>
    </row>
    <row r="6" spans="1:11" x14ac:dyDescent="0.25">
      <c r="A6" s="68"/>
      <c r="B6" s="68"/>
      <c r="C6" s="60"/>
      <c r="D6" s="30" t="s">
        <v>3</v>
      </c>
      <c r="E6" s="27" t="s">
        <v>114</v>
      </c>
      <c r="F6" s="28"/>
      <c r="G6" s="29"/>
      <c r="H6" s="29"/>
      <c r="I6" s="29"/>
      <c r="J6" s="29"/>
      <c r="K6" s="29"/>
    </row>
    <row r="7" spans="1:11" x14ac:dyDescent="0.25">
      <c r="A7" s="68"/>
      <c r="B7" s="68"/>
      <c r="C7" s="60"/>
      <c r="D7" s="27" t="s">
        <v>92</v>
      </c>
      <c r="E7" s="27" t="s">
        <v>115</v>
      </c>
      <c r="F7" s="28" t="s">
        <v>245</v>
      </c>
      <c r="G7" s="29"/>
      <c r="H7" s="29" t="s">
        <v>246</v>
      </c>
      <c r="I7" s="29" t="s">
        <v>249</v>
      </c>
      <c r="J7" s="29" t="s">
        <v>249</v>
      </c>
      <c r="K7" s="29"/>
    </row>
    <row r="8" spans="1:11" ht="15.75" thickBot="1" x14ac:dyDescent="0.3">
      <c r="A8" s="68"/>
      <c r="B8" s="68"/>
      <c r="C8" s="61"/>
      <c r="D8" s="31" t="s">
        <v>93</v>
      </c>
      <c r="E8" s="31" t="s">
        <v>239</v>
      </c>
      <c r="F8" s="32"/>
      <c r="G8" s="29" t="s">
        <v>240</v>
      </c>
      <c r="H8" s="29" t="s">
        <v>241</v>
      </c>
      <c r="I8" s="45" t="s">
        <v>242</v>
      </c>
      <c r="J8" s="37" t="s">
        <v>242</v>
      </c>
      <c r="K8" s="37"/>
    </row>
    <row r="9" spans="1:11" x14ac:dyDescent="0.25">
      <c r="A9" s="68"/>
      <c r="B9" s="68"/>
      <c r="C9" s="59" t="s">
        <v>56</v>
      </c>
      <c r="D9" s="25" t="s">
        <v>4</v>
      </c>
      <c r="E9" s="33"/>
      <c r="F9" s="26" t="s">
        <v>134</v>
      </c>
      <c r="G9" s="33"/>
      <c r="H9" s="33" t="s">
        <v>178</v>
      </c>
      <c r="I9" s="43" t="s">
        <v>151</v>
      </c>
      <c r="J9" s="33" t="s">
        <v>227</v>
      </c>
      <c r="K9" s="33"/>
    </row>
    <row r="10" spans="1:11" x14ac:dyDescent="0.25">
      <c r="A10" s="68"/>
      <c r="B10" s="68"/>
      <c r="C10" s="60"/>
      <c r="D10" s="27" t="s">
        <v>5</v>
      </c>
      <c r="E10" s="34" t="s">
        <v>116</v>
      </c>
      <c r="F10" s="28" t="s">
        <v>135</v>
      </c>
      <c r="G10" s="29" t="s">
        <v>106</v>
      </c>
      <c r="H10" s="29"/>
      <c r="I10" s="29"/>
      <c r="J10" s="29"/>
      <c r="K10" s="29"/>
    </row>
    <row r="11" spans="1:11" x14ac:dyDescent="0.25">
      <c r="A11" s="68"/>
      <c r="B11" s="68"/>
      <c r="C11" s="60"/>
      <c r="D11" s="27" t="s">
        <v>6</v>
      </c>
      <c r="E11" s="34" t="s">
        <v>117</v>
      </c>
      <c r="F11" s="28" t="s">
        <v>136</v>
      </c>
      <c r="G11" s="29" t="s">
        <v>107</v>
      </c>
      <c r="H11" s="29"/>
      <c r="I11" s="29"/>
      <c r="J11" s="29"/>
      <c r="K11" s="29"/>
    </row>
    <row r="12" spans="1:11" x14ac:dyDescent="0.25">
      <c r="A12" s="68"/>
      <c r="B12" s="68"/>
      <c r="C12" s="60"/>
      <c r="D12" s="27" t="s">
        <v>7</v>
      </c>
      <c r="E12" s="34" t="s">
        <v>118</v>
      </c>
      <c r="F12" s="28" t="s">
        <v>137</v>
      </c>
      <c r="G12" s="29" t="s">
        <v>108</v>
      </c>
      <c r="H12" s="29"/>
      <c r="I12" s="29"/>
      <c r="J12" s="29"/>
      <c r="K12" s="29"/>
    </row>
    <row r="13" spans="1:11" x14ac:dyDescent="0.25">
      <c r="A13" s="68"/>
      <c r="B13" s="68"/>
      <c r="C13" s="60"/>
      <c r="D13" s="27" t="s">
        <v>8</v>
      </c>
      <c r="E13" s="34" t="s">
        <v>119</v>
      </c>
      <c r="F13" s="28" t="s">
        <v>138</v>
      </c>
      <c r="G13" s="29" t="s">
        <v>109</v>
      </c>
      <c r="H13" s="29" t="s">
        <v>179</v>
      </c>
      <c r="I13" s="44" t="s">
        <v>141</v>
      </c>
      <c r="J13" s="29" t="s">
        <v>228</v>
      </c>
      <c r="K13" s="44" t="s">
        <v>32</v>
      </c>
    </row>
    <row r="14" spans="1:11" x14ac:dyDescent="0.25">
      <c r="A14" s="68"/>
      <c r="B14" s="68"/>
      <c r="C14" s="60"/>
      <c r="D14" s="27" t="s">
        <v>10</v>
      </c>
      <c r="E14" s="29"/>
      <c r="F14" s="35" t="s">
        <v>156</v>
      </c>
      <c r="G14" s="29"/>
      <c r="H14" s="29"/>
      <c r="I14" s="29"/>
      <c r="J14" s="29"/>
      <c r="K14" s="29"/>
    </row>
    <row r="15" spans="1:11" x14ac:dyDescent="0.25">
      <c r="A15" s="68"/>
      <c r="B15" s="68"/>
      <c r="C15" s="60"/>
      <c r="D15" s="27" t="s">
        <v>9</v>
      </c>
      <c r="E15" s="29" t="s">
        <v>163</v>
      </c>
      <c r="F15" s="28"/>
      <c r="G15" s="29" t="s">
        <v>152</v>
      </c>
      <c r="H15" s="29" t="s">
        <v>171</v>
      </c>
      <c r="I15" s="44" t="s">
        <v>165</v>
      </c>
      <c r="J15" s="29" t="s">
        <v>165</v>
      </c>
      <c r="K15" s="29"/>
    </row>
    <row r="16" spans="1:11" x14ac:dyDescent="0.25">
      <c r="A16" s="68"/>
      <c r="B16" s="68"/>
      <c r="C16" s="60"/>
      <c r="D16" s="27" t="s">
        <v>11</v>
      </c>
      <c r="E16" s="34" t="s">
        <v>121</v>
      </c>
      <c r="F16" s="28"/>
      <c r="G16" s="29" t="s">
        <v>110</v>
      </c>
      <c r="H16" s="29" t="s">
        <v>172</v>
      </c>
      <c r="I16" s="44" t="s">
        <v>142</v>
      </c>
      <c r="J16" s="29" t="s">
        <v>142</v>
      </c>
      <c r="K16" s="29"/>
    </row>
    <row r="17" spans="1:19" x14ac:dyDescent="0.25">
      <c r="A17" s="68"/>
      <c r="B17" s="68"/>
      <c r="C17" s="60"/>
      <c r="D17" s="27" t="s">
        <v>12</v>
      </c>
      <c r="E17" s="29" t="s">
        <v>161</v>
      </c>
      <c r="F17" s="28"/>
      <c r="G17" s="29" t="s">
        <v>154</v>
      </c>
      <c r="H17" s="29" t="s">
        <v>173</v>
      </c>
      <c r="I17" s="44" t="s">
        <v>167</v>
      </c>
      <c r="J17" s="29" t="s">
        <v>167</v>
      </c>
      <c r="K17" s="29"/>
    </row>
    <row r="18" spans="1:19" x14ac:dyDescent="0.25">
      <c r="A18" s="68"/>
      <c r="B18" s="68"/>
      <c r="C18" s="60"/>
      <c r="D18" s="27" t="s">
        <v>13</v>
      </c>
      <c r="E18" s="29" t="s">
        <v>162</v>
      </c>
      <c r="F18" s="28"/>
      <c r="G18" s="29" t="s">
        <v>153</v>
      </c>
      <c r="H18" s="29" t="s">
        <v>174</v>
      </c>
      <c r="I18" s="44" t="s">
        <v>143</v>
      </c>
      <c r="J18" s="29" t="s">
        <v>143</v>
      </c>
      <c r="K18" s="29"/>
    </row>
    <row r="19" spans="1:19" x14ac:dyDescent="0.25">
      <c r="A19" s="68"/>
      <c r="B19" s="68"/>
      <c r="C19" s="60"/>
      <c r="D19" s="27" t="s">
        <v>14</v>
      </c>
      <c r="E19" s="34" t="s">
        <v>120</v>
      </c>
      <c r="F19" s="28"/>
      <c r="G19" s="29" t="s">
        <v>111</v>
      </c>
      <c r="H19" s="29" t="s">
        <v>175</v>
      </c>
      <c r="I19" s="44" t="s">
        <v>166</v>
      </c>
      <c r="J19" s="29" t="s">
        <v>166</v>
      </c>
      <c r="K19" s="29"/>
    </row>
    <row r="20" spans="1:19" ht="15.75" thickBot="1" x14ac:dyDescent="0.3">
      <c r="A20" s="68"/>
      <c r="B20" s="68"/>
      <c r="C20" s="61"/>
      <c r="D20" s="36" t="s">
        <v>15</v>
      </c>
      <c r="E20" s="37"/>
      <c r="F20" s="55" t="s">
        <v>244</v>
      </c>
      <c r="G20" s="37"/>
      <c r="H20" s="29" t="s">
        <v>247</v>
      </c>
      <c r="I20" s="37" t="s">
        <v>248</v>
      </c>
      <c r="J20" s="37" t="s">
        <v>248</v>
      </c>
      <c r="K20" s="37"/>
    </row>
    <row r="21" spans="1:19" x14ac:dyDescent="0.25">
      <c r="A21" s="68"/>
      <c r="B21" s="68"/>
      <c r="C21" s="59" t="s">
        <v>63</v>
      </c>
      <c r="D21" s="25" t="s">
        <v>4</v>
      </c>
      <c r="E21" s="25"/>
      <c r="F21" s="26" t="s">
        <v>139</v>
      </c>
      <c r="G21" s="33"/>
      <c r="H21" s="33"/>
      <c r="I21" s="33"/>
      <c r="J21" s="33"/>
      <c r="K21" s="33"/>
    </row>
    <row r="22" spans="1:19" x14ac:dyDescent="0.25">
      <c r="A22" s="68"/>
      <c r="B22" s="68"/>
      <c r="C22" s="60"/>
      <c r="D22" s="27" t="s">
        <v>5</v>
      </c>
      <c r="E22" s="29" t="s">
        <v>122</v>
      </c>
      <c r="F22" s="28" t="s">
        <v>140</v>
      </c>
      <c r="G22" s="29"/>
      <c r="H22" s="29"/>
      <c r="I22" s="29"/>
      <c r="J22" s="29"/>
      <c r="K22" s="29"/>
      <c r="S22" s="40"/>
    </row>
    <row r="23" spans="1:19" x14ac:dyDescent="0.25">
      <c r="A23" s="68"/>
      <c r="B23" s="68"/>
      <c r="C23" s="60"/>
      <c r="D23" s="27" t="s">
        <v>6</v>
      </c>
      <c r="E23" s="29" t="s">
        <v>123</v>
      </c>
      <c r="F23" s="28"/>
      <c r="G23" s="29"/>
      <c r="H23" s="29"/>
      <c r="I23" s="29"/>
      <c r="J23" s="29"/>
      <c r="K23" s="29"/>
    </row>
    <row r="24" spans="1:19" x14ac:dyDescent="0.25">
      <c r="A24" s="68"/>
      <c r="B24" s="68"/>
      <c r="C24" s="60"/>
      <c r="D24" s="27" t="s">
        <v>7</v>
      </c>
      <c r="E24" s="29" t="s">
        <v>124</v>
      </c>
      <c r="F24" s="28"/>
      <c r="G24" s="29"/>
      <c r="H24" s="29"/>
      <c r="I24" s="29"/>
      <c r="J24" s="29"/>
      <c r="K24" s="29"/>
    </row>
    <row r="25" spans="1:19" x14ac:dyDescent="0.25">
      <c r="A25" s="68"/>
      <c r="B25" s="68"/>
      <c r="C25" s="60"/>
      <c r="D25" s="27" t="s">
        <v>8</v>
      </c>
      <c r="E25" s="29" t="s">
        <v>125</v>
      </c>
      <c r="F25" s="28"/>
      <c r="G25" s="29"/>
      <c r="H25" s="29" t="s">
        <v>180</v>
      </c>
      <c r="I25" s="44" t="s">
        <v>109</v>
      </c>
      <c r="J25" s="29" t="s">
        <v>109</v>
      </c>
      <c r="K25" s="29"/>
    </row>
    <row r="26" spans="1:19" x14ac:dyDescent="0.25">
      <c r="A26" s="68"/>
      <c r="B26" s="68"/>
      <c r="C26" s="60"/>
      <c r="D26" s="27" t="s">
        <v>10</v>
      </c>
      <c r="E26" s="27"/>
      <c r="F26" s="28"/>
      <c r="G26" s="29"/>
      <c r="H26" s="29"/>
      <c r="I26" s="29"/>
      <c r="J26" s="29"/>
      <c r="K26" s="29"/>
    </row>
    <row r="27" spans="1:19" x14ac:dyDescent="0.25">
      <c r="A27" s="68"/>
      <c r="B27" s="68"/>
      <c r="C27" s="60"/>
      <c r="D27" s="30" t="s">
        <v>9</v>
      </c>
      <c r="E27" s="27"/>
      <c r="F27" s="28"/>
      <c r="G27" s="29"/>
      <c r="H27" s="29"/>
      <c r="I27" s="29"/>
      <c r="J27" s="29"/>
      <c r="K27" s="29"/>
    </row>
    <row r="28" spans="1:19" x14ac:dyDescent="0.25">
      <c r="A28" s="68"/>
      <c r="B28" s="68"/>
      <c r="C28" s="60"/>
      <c r="D28" s="30" t="s">
        <v>11</v>
      </c>
      <c r="E28" s="27"/>
      <c r="F28" s="28"/>
      <c r="G28" s="29"/>
      <c r="H28" s="29"/>
      <c r="I28" s="29"/>
      <c r="J28" s="29"/>
      <c r="K28" s="29"/>
    </row>
    <row r="29" spans="1:19" x14ac:dyDescent="0.25">
      <c r="A29" s="68"/>
      <c r="B29" s="68"/>
      <c r="C29" s="60"/>
      <c r="D29" s="30" t="s">
        <v>12</v>
      </c>
      <c r="E29" s="27"/>
      <c r="F29" s="28"/>
      <c r="G29" s="29"/>
      <c r="H29" s="29"/>
      <c r="I29" s="29"/>
      <c r="J29" s="29"/>
      <c r="K29" s="29"/>
    </row>
    <row r="30" spans="1:19" x14ac:dyDescent="0.25">
      <c r="A30" s="68"/>
      <c r="B30" s="68"/>
      <c r="C30" s="60"/>
      <c r="D30" s="30" t="s">
        <v>13</v>
      </c>
      <c r="E30" s="27"/>
      <c r="F30" s="28"/>
      <c r="G30" s="29"/>
      <c r="H30" s="29"/>
      <c r="I30" s="29"/>
      <c r="J30" s="29"/>
      <c r="K30" s="29"/>
    </row>
    <row r="31" spans="1:19" x14ac:dyDescent="0.25">
      <c r="A31" s="68"/>
      <c r="B31" s="68"/>
      <c r="C31" s="60"/>
      <c r="D31" s="30" t="s">
        <v>14</v>
      </c>
      <c r="E31" s="27"/>
      <c r="F31" s="28"/>
      <c r="G31" s="29"/>
      <c r="H31" s="29"/>
      <c r="I31" s="29"/>
      <c r="J31" s="29"/>
      <c r="K31" s="29"/>
    </row>
    <row r="32" spans="1:19" ht="15.75" thickBot="1" x14ac:dyDescent="0.3">
      <c r="A32" s="68"/>
      <c r="B32" s="68"/>
      <c r="C32" s="61"/>
      <c r="D32" s="36" t="s">
        <v>15</v>
      </c>
      <c r="E32" s="31"/>
      <c r="F32" s="32"/>
      <c r="G32" s="37"/>
      <c r="H32" s="37"/>
      <c r="I32" s="37"/>
      <c r="J32" s="37"/>
      <c r="K32" s="37"/>
    </row>
    <row r="33" spans="1:11" x14ac:dyDescent="0.25">
      <c r="A33" s="68"/>
      <c r="B33" s="68"/>
      <c r="C33" s="59" t="s">
        <v>62</v>
      </c>
      <c r="D33" s="25" t="s">
        <v>17</v>
      </c>
      <c r="E33" s="25"/>
      <c r="F33" s="26"/>
      <c r="G33" s="33"/>
      <c r="H33" s="33"/>
      <c r="I33" s="33"/>
      <c r="J33" s="33"/>
      <c r="K33" s="33"/>
    </row>
    <row r="34" spans="1:11" x14ac:dyDescent="0.25">
      <c r="A34" s="68"/>
      <c r="B34" s="68"/>
      <c r="C34" s="60"/>
      <c r="D34" s="30" t="s">
        <v>18</v>
      </c>
      <c r="E34" s="27"/>
      <c r="F34" s="28"/>
      <c r="G34" s="29"/>
      <c r="H34" s="29"/>
      <c r="I34" s="29"/>
      <c r="J34" s="29"/>
      <c r="K34" s="29"/>
    </row>
    <row r="35" spans="1:11" x14ac:dyDescent="0.25">
      <c r="A35" s="68"/>
      <c r="B35" s="68"/>
      <c r="C35" s="60"/>
      <c r="D35" s="27" t="s">
        <v>19</v>
      </c>
      <c r="E35" s="27" t="s">
        <v>126</v>
      </c>
      <c r="F35" s="28"/>
      <c r="G35" s="29" t="s">
        <v>112</v>
      </c>
      <c r="H35" s="29" t="s">
        <v>181</v>
      </c>
      <c r="I35" s="44" t="s">
        <v>144</v>
      </c>
      <c r="J35" s="29" t="s">
        <v>144</v>
      </c>
      <c r="K35" s="29"/>
    </row>
    <row r="36" spans="1:11" x14ac:dyDescent="0.25">
      <c r="A36" s="68"/>
      <c r="B36" s="68"/>
      <c r="C36" s="60"/>
      <c r="D36" s="27" t="s">
        <v>20</v>
      </c>
      <c r="E36" s="27" t="s">
        <v>127</v>
      </c>
      <c r="F36" s="28"/>
      <c r="G36" s="29" t="s">
        <v>113</v>
      </c>
      <c r="H36" s="29" t="s">
        <v>182</v>
      </c>
      <c r="I36" s="44" t="s">
        <v>145</v>
      </c>
      <c r="J36" s="29" t="s">
        <v>145</v>
      </c>
      <c r="K36" s="29"/>
    </row>
    <row r="37" spans="1:11" x14ac:dyDescent="0.25">
      <c r="A37" s="68"/>
      <c r="B37" s="68"/>
      <c r="C37" s="60"/>
      <c r="D37" s="27" t="s">
        <v>21</v>
      </c>
      <c r="E37" s="27" t="s">
        <v>128</v>
      </c>
      <c r="F37" s="28"/>
      <c r="G37" s="29"/>
      <c r="H37" s="29" t="s">
        <v>183</v>
      </c>
      <c r="I37" s="44" t="s">
        <v>146</v>
      </c>
      <c r="J37" s="29" t="s">
        <v>146</v>
      </c>
      <c r="K37" s="29"/>
    </row>
    <row r="38" spans="1:11" x14ac:dyDescent="0.25">
      <c r="A38" s="68"/>
      <c r="B38" s="68"/>
      <c r="C38" s="60"/>
      <c r="D38" s="27" t="s">
        <v>22</v>
      </c>
      <c r="E38" s="27" t="s">
        <v>129</v>
      </c>
      <c r="F38" s="28"/>
      <c r="G38" s="29"/>
      <c r="H38" s="29" t="s">
        <v>184</v>
      </c>
      <c r="I38" s="44" t="s">
        <v>147</v>
      </c>
      <c r="J38" s="29" t="s">
        <v>147</v>
      </c>
      <c r="K38" s="29"/>
    </row>
    <row r="39" spans="1:11" x14ac:dyDescent="0.25">
      <c r="A39" s="68"/>
      <c r="B39" s="68"/>
      <c r="C39" s="60"/>
      <c r="D39" s="27" t="s">
        <v>24</v>
      </c>
      <c r="E39" s="27" t="s">
        <v>130</v>
      </c>
      <c r="F39" s="28"/>
      <c r="G39" s="29"/>
      <c r="H39" s="29" t="s">
        <v>186</v>
      </c>
      <c r="I39" s="44" t="s">
        <v>148</v>
      </c>
      <c r="J39" s="29" t="s">
        <v>148</v>
      </c>
      <c r="K39" s="29"/>
    </row>
    <row r="40" spans="1:11" ht="15.75" thickBot="1" x14ac:dyDescent="0.3">
      <c r="A40" s="68"/>
      <c r="B40" s="68"/>
      <c r="C40" s="61"/>
      <c r="D40" s="31" t="s">
        <v>23</v>
      </c>
      <c r="E40" s="31" t="s">
        <v>131</v>
      </c>
      <c r="F40" s="32"/>
      <c r="G40" s="37"/>
      <c r="H40" s="37" t="s">
        <v>185</v>
      </c>
      <c r="I40" s="45" t="s">
        <v>149</v>
      </c>
      <c r="J40" s="37" t="s">
        <v>149</v>
      </c>
      <c r="K40" s="37"/>
    </row>
    <row r="41" spans="1:11" x14ac:dyDescent="0.25">
      <c r="A41" s="68"/>
      <c r="B41" s="69" t="s">
        <v>66</v>
      </c>
      <c r="C41" s="59" t="s">
        <v>56</v>
      </c>
      <c r="D41" s="25" t="s">
        <v>4</v>
      </c>
      <c r="E41" s="25"/>
      <c r="F41" s="26"/>
      <c r="G41" s="33"/>
      <c r="H41" s="33"/>
      <c r="I41" s="33"/>
      <c r="J41" s="33"/>
      <c r="K41" s="33"/>
    </row>
    <row r="42" spans="1:11" x14ac:dyDescent="0.25">
      <c r="A42" s="68"/>
      <c r="B42" s="68"/>
      <c r="C42" s="60"/>
      <c r="D42" s="30" t="s">
        <v>5</v>
      </c>
      <c r="E42" s="27"/>
      <c r="F42" s="28"/>
      <c r="G42" s="29"/>
      <c r="H42" s="29"/>
      <c r="I42" s="29"/>
      <c r="J42" s="29"/>
      <c r="K42" s="29"/>
    </row>
    <row r="43" spans="1:11" x14ac:dyDescent="0.25">
      <c r="A43" s="68"/>
      <c r="B43" s="68"/>
      <c r="C43" s="60"/>
      <c r="D43" s="30" t="s">
        <v>6</v>
      </c>
      <c r="E43" s="27"/>
      <c r="F43" s="28"/>
      <c r="G43" s="29"/>
      <c r="H43" s="29"/>
      <c r="I43" s="29"/>
      <c r="J43" s="29"/>
      <c r="K43" s="29"/>
    </row>
    <row r="44" spans="1:11" x14ac:dyDescent="0.25">
      <c r="A44" s="68"/>
      <c r="B44" s="68"/>
      <c r="C44" s="60"/>
      <c r="D44" s="30" t="s">
        <v>7</v>
      </c>
      <c r="E44" s="27"/>
      <c r="F44" s="28"/>
      <c r="G44" s="29"/>
      <c r="H44" s="29"/>
      <c r="I44" s="29"/>
      <c r="J44" s="29"/>
      <c r="K44" s="29"/>
    </row>
    <row r="45" spans="1:11" x14ac:dyDescent="0.25">
      <c r="A45" s="68"/>
      <c r="B45" s="68"/>
      <c r="C45" s="60"/>
      <c r="D45" s="30" t="s">
        <v>8</v>
      </c>
      <c r="E45" s="27"/>
      <c r="F45" s="28"/>
      <c r="G45" s="29"/>
      <c r="H45" s="29"/>
      <c r="I45" s="29"/>
      <c r="J45" s="29"/>
      <c r="K45" s="29"/>
    </row>
    <row r="46" spans="1:11" x14ac:dyDescent="0.25">
      <c r="A46" s="68"/>
      <c r="B46" s="68"/>
      <c r="C46" s="60"/>
      <c r="D46" s="27" t="s">
        <v>10</v>
      </c>
      <c r="E46" s="27"/>
      <c r="F46" s="28"/>
      <c r="G46" s="29"/>
      <c r="H46" s="29"/>
      <c r="I46" s="29"/>
      <c r="J46" s="29"/>
      <c r="K46" s="29"/>
    </row>
    <row r="47" spans="1:11" x14ac:dyDescent="0.25">
      <c r="A47" s="68"/>
      <c r="B47" s="68"/>
      <c r="C47" s="60"/>
      <c r="D47" s="27" t="s">
        <v>9</v>
      </c>
      <c r="E47" s="29" t="s">
        <v>163</v>
      </c>
      <c r="F47" s="28"/>
      <c r="G47" s="29" t="s">
        <v>152</v>
      </c>
      <c r="H47" s="29" t="s">
        <v>171</v>
      </c>
      <c r="I47" s="44" t="s">
        <v>165</v>
      </c>
      <c r="J47" s="29" t="s">
        <v>165</v>
      </c>
      <c r="K47" s="29"/>
    </row>
    <row r="48" spans="1:11" x14ac:dyDescent="0.25">
      <c r="A48" s="68"/>
      <c r="B48" s="68"/>
      <c r="C48" s="60"/>
      <c r="D48" s="27" t="s">
        <v>11</v>
      </c>
      <c r="E48" s="34" t="s">
        <v>121</v>
      </c>
      <c r="F48" s="28"/>
      <c r="G48" s="29" t="s">
        <v>110</v>
      </c>
      <c r="H48" s="29" t="s">
        <v>172</v>
      </c>
      <c r="I48" s="44" t="s">
        <v>142</v>
      </c>
      <c r="J48" s="29" t="s">
        <v>142</v>
      </c>
      <c r="K48" s="29"/>
    </row>
    <row r="49" spans="1:11" x14ac:dyDescent="0.25">
      <c r="A49" s="68"/>
      <c r="B49" s="68"/>
      <c r="C49" s="60"/>
      <c r="D49" s="27" t="s">
        <v>12</v>
      </c>
      <c r="E49" s="29" t="s">
        <v>161</v>
      </c>
      <c r="F49" s="28"/>
      <c r="G49" s="29" t="s">
        <v>154</v>
      </c>
      <c r="H49" s="29" t="s">
        <v>173</v>
      </c>
      <c r="I49" s="44" t="s">
        <v>167</v>
      </c>
      <c r="J49" s="29" t="s">
        <v>167</v>
      </c>
      <c r="K49" s="29"/>
    </row>
    <row r="50" spans="1:11" x14ac:dyDescent="0.25">
      <c r="A50" s="68"/>
      <c r="B50" s="68"/>
      <c r="C50" s="60"/>
      <c r="D50" s="27" t="s">
        <v>13</v>
      </c>
      <c r="E50" s="29" t="s">
        <v>162</v>
      </c>
      <c r="F50" s="28"/>
      <c r="G50" s="29" t="s">
        <v>153</v>
      </c>
      <c r="H50" s="29" t="s">
        <v>174</v>
      </c>
      <c r="I50" s="44" t="s">
        <v>143</v>
      </c>
      <c r="J50" s="29" t="s">
        <v>143</v>
      </c>
      <c r="K50" s="29"/>
    </row>
    <row r="51" spans="1:11" x14ac:dyDescent="0.25">
      <c r="A51" s="68"/>
      <c r="B51" s="68"/>
      <c r="C51" s="60"/>
      <c r="D51" s="27" t="s">
        <v>14</v>
      </c>
      <c r="E51" s="34" t="s">
        <v>120</v>
      </c>
      <c r="F51" s="28"/>
      <c r="G51" s="29" t="s">
        <v>111</v>
      </c>
      <c r="H51" s="29" t="s">
        <v>175</v>
      </c>
      <c r="I51" s="44" t="s">
        <v>166</v>
      </c>
      <c r="J51" s="29" t="s">
        <v>166</v>
      </c>
      <c r="K51" s="29"/>
    </row>
    <row r="52" spans="1:11" ht="15.75" thickBot="1" x14ac:dyDescent="0.3">
      <c r="A52" s="68"/>
      <c r="B52" s="70"/>
      <c r="C52" s="61"/>
      <c r="D52" s="36" t="s">
        <v>15</v>
      </c>
      <c r="E52" s="31"/>
      <c r="F52" s="55" t="s">
        <v>244</v>
      </c>
      <c r="G52" s="37"/>
      <c r="H52" s="29" t="s">
        <v>247</v>
      </c>
      <c r="I52" s="37" t="s">
        <v>248</v>
      </c>
      <c r="J52" s="37" t="s">
        <v>248</v>
      </c>
      <c r="K52" s="37"/>
    </row>
    <row r="53" spans="1:11" x14ac:dyDescent="0.25">
      <c r="A53" s="62" t="s">
        <v>75</v>
      </c>
      <c r="B53" s="63"/>
      <c r="C53" s="59" t="s">
        <v>103</v>
      </c>
      <c r="D53" s="25" t="s">
        <v>12</v>
      </c>
      <c r="E53" s="38" t="s">
        <v>12</v>
      </c>
      <c r="F53" s="26"/>
      <c r="G53" s="33" t="s">
        <v>164</v>
      </c>
      <c r="H53" s="33" t="s">
        <v>188</v>
      </c>
      <c r="I53" s="33" t="s">
        <v>194</v>
      </c>
      <c r="J53" s="33" t="s">
        <v>229</v>
      </c>
      <c r="K53" s="33"/>
    </row>
    <row r="54" spans="1:11" x14ac:dyDescent="0.25">
      <c r="A54" s="64"/>
      <c r="B54" s="65"/>
      <c r="C54" s="60"/>
      <c r="D54" s="27" t="s">
        <v>40</v>
      </c>
      <c r="E54" s="39" t="s">
        <v>132</v>
      </c>
      <c r="F54" s="28"/>
      <c r="G54" s="29"/>
      <c r="H54" s="29" t="s">
        <v>189</v>
      </c>
      <c r="I54" s="29" t="s">
        <v>187</v>
      </c>
      <c r="J54" s="29" t="s">
        <v>230</v>
      </c>
      <c r="K54" s="29"/>
    </row>
    <row r="55" spans="1:11" x14ac:dyDescent="0.25">
      <c r="A55" s="64"/>
      <c r="B55" s="65"/>
      <c r="C55" s="60"/>
      <c r="D55" s="27" t="s">
        <v>41</v>
      </c>
      <c r="E55" s="39" t="s">
        <v>133</v>
      </c>
      <c r="F55" s="28"/>
      <c r="G55" s="29"/>
      <c r="H55" s="29" t="s">
        <v>190</v>
      </c>
      <c r="I55" s="29" t="s">
        <v>195</v>
      </c>
      <c r="J55" s="29" t="s">
        <v>231</v>
      </c>
      <c r="K55" s="29"/>
    </row>
    <row r="56" spans="1:11" x14ac:dyDescent="0.25">
      <c r="A56" s="64"/>
      <c r="B56" s="65"/>
      <c r="C56" s="60"/>
      <c r="D56" s="27" t="s">
        <v>49</v>
      </c>
      <c r="E56" s="39" t="s">
        <v>49</v>
      </c>
      <c r="F56" s="28"/>
      <c r="G56" s="29"/>
      <c r="H56" s="29" t="s">
        <v>191</v>
      </c>
      <c r="I56" s="29" t="s">
        <v>196</v>
      </c>
      <c r="J56" s="29" t="s">
        <v>232</v>
      </c>
      <c r="K56" s="29"/>
    </row>
    <row r="57" spans="1:11" x14ac:dyDescent="0.25">
      <c r="A57" s="64"/>
      <c r="B57" s="65"/>
      <c r="C57" s="60"/>
      <c r="D57" s="27" t="s">
        <v>50</v>
      </c>
      <c r="E57" s="39" t="s">
        <v>50</v>
      </c>
      <c r="F57" s="28"/>
      <c r="G57" s="29"/>
      <c r="H57" s="29" t="s">
        <v>192</v>
      </c>
      <c r="I57" s="29" t="s">
        <v>197</v>
      </c>
      <c r="J57" s="29" t="s">
        <v>233</v>
      </c>
      <c r="K57" s="29"/>
    </row>
    <row r="58" spans="1:11" ht="15.75" thickBot="1" x14ac:dyDescent="0.3">
      <c r="A58" s="66"/>
      <c r="B58" s="67"/>
      <c r="C58" s="61"/>
      <c r="D58" s="31" t="s">
        <v>51</v>
      </c>
      <c r="E58" s="51" t="s">
        <v>51</v>
      </c>
      <c r="F58" s="32"/>
      <c r="G58" s="37"/>
      <c r="H58" s="37" t="s">
        <v>193</v>
      </c>
      <c r="I58" s="37" t="s">
        <v>198</v>
      </c>
      <c r="J58" s="37" t="s">
        <v>234</v>
      </c>
      <c r="K58" s="37"/>
    </row>
    <row r="59" spans="1:11" ht="15.75" thickBot="1" x14ac:dyDescent="0.3">
      <c r="A59" s="56" t="str">
        <f>"Total: "&amp;TEXT(SUM(E59:K59),"0")</f>
        <v>Total: 847</v>
      </c>
      <c r="B59" s="56"/>
      <c r="C59" s="56"/>
      <c r="D59" s="56"/>
      <c r="E59" s="52">
        <v>49</v>
      </c>
      <c r="F59" s="54">
        <v>20</v>
      </c>
      <c r="G59" s="53">
        <v>47</v>
      </c>
      <c r="H59" s="53">
        <v>340</v>
      </c>
      <c r="I59" s="53">
        <v>156</v>
      </c>
      <c r="J59" s="53">
        <v>234</v>
      </c>
      <c r="K59" s="53">
        <v>1</v>
      </c>
    </row>
  </sheetData>
  <mergeCells count="12">
    <mergeCell ref="A59:D59"/>
    <mergeCell ref="A1:B1"/>
    <mergeCell ref="C53:C58"/>
    <mergeCell ref="A53:B58"/>
    <mergeCell ref="A2:A52"/>
    <mergeCell ref="C41:C52"/>
    <mergeCell ref="B41:B52"/>
    <mergeCell ref="C21:C32"/>
    <mergeCell ref="C2:C8"/>
    <mergeCell ref="C9:C20"/>
    <mergeCell ref="C33:C40"/>
    <mergeCell ref="B2:B4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0E19-6902-46D4-AC65-7A0C7AD1873B}">
  <dimension ref="A1:H29"/>
  <sheetViews>
    <sheetView topLeftCell="A6" zoomScaleNormal="100" workbookViewId="0">
      <selection activeCell="C21" sqref="C21"/>
    </sheetView>
  </sheetViews>
  <sheetFormatPr defaultRowHeight="15" x14ac:dyDescent="0.25"/>
  <cols>
    <col min="2" max="2" width="23.85546875" bestFit="1" customWidth="1"/>
    <col min="3" max="3" width="40.28515625" bestFit="1" customWidth="1"/>
    <col min="4" max="4" width="11.85546875" bestFit="1" customWidth="1"/>
    <col min="5" max="5" width="50" style="18" customWidth="1"/>
    <col min="6" max="6" width="10.5703125" style="19" bestFit="1" customWidth="1"/>
    <col min="7" max="7" width="11.140625" style="19" bestFit="1" customWidth="1"/>
    <col min="8" max="8" width="16.28515625" bestFit="1" customWidth="1"/>
  </cols>
  <sheetData>
    <row r="1" spans="1:8" s="8" customFormat="1" x14ac:dyDescent="0.25">
      <c r="A1" s="10" t="s">
        <v>37</v>
      </c>
      <c r="B1" s="1" t="s">
        <v>30</v>
      </c>
      <c r="C1" s="12" t="s">
        <v>31</v>
      </c>
      <c r="D1" s="12" t="s">
        <v>33</v>
      </c>
      <c r="E1" s="1" t="s">
        <v>34</v>
      </c>
      <c r="F1" s="9"/>
      <c r="G1" s="9"/>
    </row>
    <row r="2" spans="1:8" ht="15.75" customHeight="1" x14ac:dyDescent="0.25">
      <c r="A2" s="75">
        <v>1</v>
      </c>
      <c r="B2" s="82" t="s">
        <v>199</v>
      </c>
      <c r="C2" s="47" t="s">
        <v>4</v>
      </c>
      <c r="D2" s="3"/>
      <c r="E2" s="84" t="s">
        <v>46</v>
      </c>
      <c r="F2" s="65" t="s">
        <v>200</v>
      </c>
      <c r="G2" s="65" t="s">
        <v>43</v>
      </c>
      <c r="H2" s="65" t="s">
        <v>54</v>
      </c>
    </row>
    <row r="3" spans="1:8" ht="15.75" x14ac:dyDescent="0.25">
      <c r="A3" s="76"/>
      <c r="B3" s="83"/>
      <c r="C3" s="6" t="s">
        <v>5</v>
      </c>
      <c r="D3" s="7" t="s">
        <v>25</v>
      </c>
      <c r="E3" s="85"/>
      <c r="F3" s="65"/>
      <c r="G3" s="65"/>
      <c r="H3" s="65"/>
    </row>
    <row r="4" spans="1:8" ht="15.75" x14ac:dyDescent="0.25">
      <c r="A4" s="76"/>
      <c r="B4" s="83"/>
      <c r="C4" s="6" t="s">
        <v>6</v>
      </c>
      <c r="D4" s="7" t="s">
        <v>27</v>
      </c>
      <c r="E4" s="85"/>
      <c r="F4" s="65"/>
      <c r="G4" s="65"/>
      <c r="H4" s="65"/>
    </row>
    <row r="5" spans="1:8" ht="15.75" x14ac:dyDescent="0.25">
      <c r="A5" s="76"/>
      <c r="B5" s="83"/>
      <c r="C5" s="6" t="s">
        <v>7</v>
      </c>
      <c r="D5" s="7" t="s">
        <v>28</v>
      </c>
      <c r="E5" s="85"/>
      <c r="F5" s="65"/>
      <c r="G5" s="65"/>
      <c r="H5" s="65"/>
    </row>
    <row r="6" spans="1:8" ht="15.75" x14ac:dyDescent="0.25">
      <c r="A6" s="76"/>
      <c r="B6" s="83"/>
      <c r="C6" s="6" t="s">
        <v>8</v>
      </c>
      <c r="D6" s="7" t="s">
        <v>26</v>
      </c>
      <c r="E6" s="85"/>
      <c r="F6" s="65"/>
      <c r="G6" s="65"/>
      <c r="H6" s="65"/>
    </row>
    <row r="7" spans="1:8" ht="15.75" x14ac:dyDescent="0.25">
      <c r="A7" s="76"/>
      <c r="B7" s="83"/>
      <c r="C7" s="6" t="s">
        <v>10</v>
      </c>
      <c r="D7" s="3"/>
      <c r="E7" s="86"/>
      <c r="F7" s="65"/>
      <c r="G7" s="65"/>
      <c r="H7" s="65"/>
    </row>
    <row r="8" spans="1:8" ht="15.75" x14ac:dyDescent="0.25">
      <c r="A8" s="76"/>
      <c r="B8" s="83"/>
      <c r="C8" s="4" t="s">
        <v>9</v>
      </c>
      <c r="D8" s="3"/>
      <c r="E8" s="48"/>
      <c r="F8" s="65"/>
      <c r="G8" s="65"/>
      <c r="H8" s="65"/>
    </row>
    <row r="9" spans="1:8" ht="15.75" x14ac:dyDescent="0.25">
      <c r="A9" s="76"/>
      <c r="B9" s="83"/>
      <c r="C9" s="4" t="s">
        <v>11</v>
      </c>
      <c r="D9" s="3"/>
      <c r="E9" s="16"/>
      <c r="F9" s="65"/>
      <c r="G9" s="65"/>
      <c r="H9" s="65"/>
    </row>
    <row r="10" spans="1:8" ht="15.75" x14ac:dyDescent="0.25">
      <c r="A10" s="76"/>
      <c r="B10" s="83"/>
      <c r="C10" s="4" t="s">
        <v>12</v>
      </c>
      <c r="E10" s="16"/>
      <c r="F10" s="65"/>
      <c r="G10" s="65"/>
      <c r="H10" s="65"/>
    </row>
    <row r="11" spans="1:8" ht="15.75" x14ac:dyDescent="0.25">
      <c r="A11" s="76"/>
      <c r="B11" s="83"/>
      <c r="C11" s="4" t="s">
        <v>13</v>
      </c>
      <c r="D11" s="3"/>
      <c r="E11" s="16"/>
      <c r="F11" s="65"/>
      <c r="G11" s="65"/>
      <c r="H11" s="65"/>
    </row>
    <row r="12" spans="1:8" ht="15.75" x14ac:dyDescent="0.25">
      <c r="A12" s="76"/>
      <c r="B12" s="83"/>
      <c r="C12" s="4" t="s">
        <v>14</v>
      </c>
      <c r="D12" s="3"/>
      <c r="E12" s="16"/>
      <c r="F12" s="65"/>
      <c r="G12" s="65"/>
      <c r="H12" s="65"/>
    </row>
    <row r="13" spans="1:8" ht="15.75" x14ac:dyDescent="0.25">
      <c r="A13" s="77"/>
      <c r="B13" s="83"/>
      <c r="C13" s="5" t="s">
        <v>15</v>
      </c>
      <c r="D13" s="3"/>
      <c r="E13" s="16"/>
      <c r="F13" s="65"/>
      <c r="G13" s="65"/>
      <c r="H13" s="65"/>
    </row>
    <row r="14" spans="1:8" ht="15.75" x14ac:dyDescent="0.25">
      <c r="A14" s="75">
        <v>2</v>
      </c>
      <c r="B14" s="83" t="s">
        <v>16</v>
      </c>
      <c r="C14" s="6" t="s">
        <v>17</v>
      </c>
      <c r="D14" s="3"/>
      <c r="E14" s="15"/>
      <c r="F14" s="65" t="s">
        <v>42</v>
      </c>
      <c r="G14" s="65" t="s">
        <v>43</v>
      </c>
      <c r="H14" s="65"/>
    </row>
    <row r="15" spans="1:8" ht="15.75" x14ac:dyDescent="0.25">
      <c r="A15" s="76"/>
      <c r="B15" s="83"/>
      <c r="C15" s="5" t="s">
        <v>18</v>
      </c>
      <c r="D15" s="3"/>
      <c r="E15" s="15"/>
      <c r="F15" s="65"/>
      <c r="G15" s="65"/>
      <c r="H15" s="65"/>
    </row>
    <row r="16" spans="1:8" ht="15.75" x14ac:dyDescent="0.25">
      <c r="A16" s="76"/>
      <c r="B16" s="83"/>
      <c r="C16" s="6" t="s">
        <v>19</v>
      </c>
      <c r="D16" s="7" t="s">
        <v>26</v>
      </c>
      <c r="E16" s="78" t="s">
        <v>38</v>
      </c>
      <c r="F16" s="65"/>
      <c r="G16" s="65"/>
      <c r="H16" s="65"/>
    </row>
    <row r="17" spans="1:8" ht="15.75" x14ac:dyDescent="0.25">
      <c r="A17" s="76"/>
      <c r="B17" s="83"/>
      <c r="C17" s="6" t="s">
        <v>20</v>
      </c>
      <c r="D17" s="7" t="s">
        <v>26</v>
      </c>
      <c r="E17" s="78"/>
      <c r="F17" s="65"/>
      <c r="G17" s="65"/>
      <c r="H17" s="65"/>
    </row>
    <row r="18" spans="1:8" ht="15.75" x14ac:dyDescent="0.25">
      <c r="A18" s="76"/>
      <c r="B18" s="83"/>
      <c r="C18" s="6" t="s">
        <v>21</v>
      </c>
      <c r="D18" s="7" t="s">
        <v>26</v>
      </c>
      <c r="E18" s="73" t="s">
        <v>39</v>
      </c>
      <c r="F18" s="65"/>
      <c r="G18" s="65"/>
      <c r="H18" s="65"/>
    </row>
    <row r="19" spans="1:8" ht="15.75" x14ac:dyDescent="0.25">
      <c r="A19" s="76"/>
      <c r="B19" s="83"/>
      <c r="C19" s="6" t="s">
        <v>22</v>
      </c>
      <c r="D19" s="7" t="s">
        <v>26</v>
      </c>
      <c r="E19" s="74"/>
      <c r="F19" s="65"/>
      <c r="G19" s="65"/>
      <c r="H19" s="65"/>
    </row>
    <row r="20" spans="1:8" ht="15.75" x14ac:dyDescent="0.25">
      <c r="A20" s="76"/>
      <c r="B20" s="83"/>
      <c r="C20" s="6" t="s">
        <v>24</v>
      </c>
      <c r="D20" s="7" t="s">
        <v>26</v>
      </c>
      <c r="E20" s="73" t="s">
        <v>39</v>
      </c>
      <c r="F20" s="65"/>
      <c r="G20" s="65"/>
      <c r="H20" s="65"/>
    </row>
    <row r="21" spans="1:8" ht="15.75" x14ac:dyDescent="0.25">
      <c r="A21" s="77"/>
      <c r="B21" s="83"/>
      <c r="C21" s="6" t="s">
        <v>23</v>
      </c>
      <c r="D21" s="7" t="s">
        <v>26</v>
      </c>
      <c r="E21" s="74"/>
      <c r="F21" s="65"/>
      <c r="G21" s="65"/>
      <c r="H21" s="65"/>
    </row>
    <row r="22" spans="1:8" ht="15.75" x14ac:dyDescent="0.25">
      <c r="A22" s="75">
        <v>3</v>
      </c>
      <c r="B22" s="79" t="s">
        <v>29</v>
      </c>
      <c r="C22" s="6" t="s">
        <v>52</v>
      </c>
      <c r="D22" s="14"/>
      <c r="E22" s="17" t="s">
        <v>53</v>
      </c>
      <c r="F22" s="65" t="s">
        <v>42</v>
      </c>
      <c r="G22" s="65" t="s">
        <v>43</v>
      </c>
      <c r="H22" s="65"/>
    </row>
    <row r="23" spans="1:8" ht="15.75" x14ac:dyDescent="0.25">
      <c r="A23" s="76"/>
      <c r="B23" s="80"/>
      <c r="C23" s="6" t="s">
        <v>12</v>
      </c>
      <c r="D23" s="14"/>
      <c r="E23" s="17" t="s">
        <v>44</v>
      </c>
      <c r="F23" s="65"/>
      <c r="G23" s="65"/>
      <c r="H23" s="65"/>
    </row>
    <row r="24" spans="1:8" ht="15.75" x14ac:dyDescent="0.25">
      <c r="A24" s="76"/>
      <c r="B24" s="80"/>
      <c r="C24" s="6" t="s">
        <v>40</v>
      </c>
      <c r="D24" s="14"/>
      <c r="E24" s="17" t="s">
        <v>45</v>
      </c>
      <c r="F24" s="65"/>
      <c r="G24" s="65"/>
      <c r="H24" s="65"/>
    </row>
    <row r="25" spans="1:8" ht="15.75" x14ac:dyDescent="0.25">
      <c r="A25" s="76"/>
      <c r="B25" s="80"/>
      <c r="C25" s="6" t="s">
        <v>41</v>
      </c>
      <c r="D25" s="14"/>
      <c r="E25" s="17" t="s">
        <v>45</v>
      </c>
      <c r="F25" s="65"/>
      <c r="G25" s="65"/>
      <c r="H25" s="65"/>
    </row>
    <row r="26" spans="1:8" ht="15" customHeight="1" x14ac:dyDescent="0.25">
      <c r="A26" s="76"/>
      <c r="B26" s="80"/>
      <c r="C26" s="7" t="s">
        <v>49</v>
      </c>
      <c r="D26" s="3"/>
      <c r="E26" s="73" t="s">
        <v>47</v>
      </c>
      <c r="F26" s="65"/>
      <c r="G26" s="65"/>
      <c r="H26" s="65"/>
    </row>
    <row r="27" spans="1:8" ht="15" customHeight="1" x14ac:dyDescent="0.25">
      <c r="A27" s="76"/>
      <c r="B27" s="80"/>
      <c r="C27" s="7" t="s">
        <v>50</v>
      </c>
      <c r="D27" s="3"/>
      <c r="E27" s="81"/>
      <c r="F27" s="65"/>
      <c r="G27" s="65"/>
      <c r="H27" s="65"/>
    </row>
    <row r="28" spans="1:8" ht="15" customHeight="1" x14ac:dyDescent="0.25">
      <c r="A28" s="76"/>
      <c r="B28" s="80"/>
      <c r="C28" s="7" t="s">
        <v>51</v>
      </c>
      <c r="D28" s="3"/>
      <c r="E28" s="74"/>
      <c r="F28" s="65"/>
      <c r="G28" s="65"/>
      <c r="H28" s="65"/>
    </row>
    <row r="29" spans="1:8" x14ac:dyDescent="0.25">
      <c r="A29" s="77"/>
      <c r="B29" s="1" t="s">
        <v>35</v>
      </c>
      <c r="C29" s="7" t="s">
        <v>36</v>
      </c>
      <c r="D29" s="3"/>
      <c r="E29" s="2" t="s">
        <v>48</v>
      </c>
      <c r="F29" s="13"/>
      <c r="G29" s="13"/>
      <c r="H29" s="11"/>
    </row>
  </sheetData>
  <mergeCells count="18">
    <mergeCell ref="H2:H28"/>
    <mergeCell ref="F14:F21"/>
    <mergeCell ref="F2:F13"/>
    <mergeCell ref="G14:G21"/>
    <mergeCell ref="G2:G13"/>
    <mergeCell ref="F22:F28"/>
    <mergeCell ref="G22:G28"/>
    <mergeCell ref="E18:E19"/>
    <mergeCell ref="A2:A13"/>
    <mergeCell ref="A14:A21"/>
    <mergeCell ref="E16:E17"/>
    <mergeCell ref="A22:A29"/>
    <mergeCell ref="B22:B28"/>
    <mergeCell ref="E26:E28"/>
    <mergeCell ref="B2:B13"/>
    <mergeCell ref="B14:B21"/>
    <mergeCell ref="E20:E21"/>
    <mergeCell ref="E2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93EF-A65A-480F-A074-E1E3222D5B8C}">
  <dimension ref="A1:D13"/>
  <sheetViews>
    <sheetView zoomScale="115" zoomScaleNormal="115" workbookViewId="0">
      <selection activeCell="C18" sqref="C18"/>
    </sheetView>
  </sheetViews>
  <sheetFormatPr defaultColWidth="35.28515625" defaultRowHeight="15" x14ac:dyDescent="0.25"/>
  <cols>
    <col min="1" max="1" width="33.42578125" bestFit="1" customWidth="1"/>
  </cols>
  <sheetData>
    <row r="1" spans="1:4" ht="45" x14ac:dyDescent="0.25">
      <c r="B1" s="50" t="s">
        <v>203</v>
      </c>
      <c r="C1" s="50" t="s">
        <v>202</v>
      </c>
      <c r="D1" s="50" t="s">
        <v>201</v>
      </c>
    </row>
    <row r="2" spans="1:4" x14ac:dyDescent="0.25">
      <c r="A2" t="s">
        <v>204</v>
      </c>
      <c r="B2" t="s">
        <v>205</v>
      </c>
      <c r="C2" t="s">
        <v>205</v>
      </c>
      <c r="D2" t="s">
        <v>205</v>
      </c>
    </row>
    <row r="3" spans="1:4" x14ac:dyDescent="0.25">
      <c r="A3" t="s">
        <v>208</v>
      </c>
      <c r="B3" t="s">
        <v>206</v>
      </c>
      <c r="C3" t="s">
        <v>207</v>
      </c>
      <c r="D3" t="s">
        <v>225</v>
      </c>
    </row>
    <row r="4" spans="1:4" x14ac:dyDescent="0.25">
      <c r="A4" t="s">
        <v>209</v>
      </c>
      <c r="B4" t="s">
        <v>206</v>
      </c>
      <c r="C4" t="s">
        <v>210</v>
      </c>
      <c r="D4" t="s">
        <v>210</v>
      </c>
    </row>
    <row r="5" spans="1:4" x14ac:dyDescent="0.25">
      <c r="A5" t="s">
        <v>211</v>
      </c>
      <c r="B5" t="s">
        <v>206</v>
      </c>
      <c r="C5" t="s">
        <v>214</v>
      </c>
      <c r="D5" t="s">
        <v>214</v>
      </c>
    </row>
    <row r="6" spans="1:4" x14ac:dyDescent="0.25">
      <c r="A6" t="s">
        <v>212</v>
      </c>
      <c r="B6" t="s">
        <v>206</v>
      </c>
      <c r="C6" t="s">
        <v>213</v>
      </c>
      <c r="D6" t="s">
        <v>213</v>
      </c>
    </row>
    <row r="7" spans="1:4" x14ac:dyDescent="0.25">
      <c r="A7" t="s">
        <v>216</v>
      </c>
      <c r="B7" t="s">
        <v>206</v>
      </c>
      <c r="C7" t="s">
        <v>217</v>
      </c>
      <c r="D7" t="s">
        <v>217</v>
      </c>
    </row>
    <row r="8" spans="1:4" x14ac:dyDescent="0.25">
      <c r="A8" t="s">
        <v>215</v>
      </c>
      <c r="B8" t="s">
        <v>206</v>
      </c>
      <c r="C8" t="s">
        <v>218</v>
      </c>
      <c r="D8" t="s">
        <v>218</v>
      </c>
    </row>
    <row r="9" spans="1:4" x14ac:dyDescent="0.25">
      <c r="A9" t="s">
        <v>219</v>
      </c>
      <c r="B9" t="s">
        <v>205</v>
      </c>
      <c r="C9" t="s">
        <v>205</v>
      </c>
      <c r="D9" t="s">
        <v>205</v>
      </c>
    </row>
    <row r="10" spans="1:4" x14ac:dyDescent="0.25">
      <c r="A10" t="s">
        <v>224</v>
      </c>
      <c r="B10" t="s">
        <v>205</v>
      </c>
      <c r="C10" t="s">
        <v>205</v>
      </c>
      <c r="D10" t="s">
        <v>205</v>
      </c>
    </row>
    <row r="11" spans="1:4" x14ac:dyDescent="0.25">
      <c r="A11" s="49" t="s">
        <v>223</v>
      </c>
      <c r="B11" t="s">
        <v>205</v>
      </c>
      <c r="C11" t="s">
        <v>205</v>
      </c>
      <c r="D11" t="s">
        <v>205</v>
      </c>
    </row>
    <row r="12" spans="1:4" x14ac:dyDescent="0.25">
      <c r="A12" t="s">
        <v>222</v>
      </c>
      <c r="B12" t="s">
        <v>205</v>
      </c>
      <c r="C12" t="s">
        <v>205</v>
      </c>
      <c r="D12" t="s">
        <v>205</v>
      </c>
    </row>
    <row r="13" spans="1:4" x14ac:dyDescent="0.25">
      <c r="A13" t="s">
        <v>220</v>
      </c>
      <c r="B13" t="s">
        <v>205</v>
      </c>
      <c r="C13" t="s">
        <v>221</v>
      </c>
      <c r="D13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draft</vt:lpstr>
      <vt:lpstr>featurestore</vt:lpstr>
      <vt:lpstr>dashboard</vt:lpstr>
      <vt:lpstr>clean 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Đức Phạm</dc:creator>
  <cp:lastModifiedBy>PHẠM LÊ HỒNG ĐỨC</cp:lastModifiedBy>
  <dcterms:created xsi:type="dcterms:W3CDTF">2015-06-05T18:17:20Z</dcterms:created>
  <dcterms:modified xsi:type="dcterms:W3CDTF">2026-06-25T02:35:52Z</dcterms:modified>
</cp:coreProperties>
</file>